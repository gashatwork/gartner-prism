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jreisfel\Desktop\repub\"/>
    </mc:Choice>
  </mc:AlternateContent>
  <xr:revisionPtr revIDLastSave="0" documentId="8_{5FF1EBD6-7F52-4E81-99C3-28A38909EA87}" xr6:coauthVersionLast="47" xr6:coauthVersionMax="47" xr10:uidLastSave="{00000000-0000-0000-0000-000000000000}"/>
  <bookViews>
    <workbookView xWindow="-120" yWindow="-120" windowWidth="24240" windowHeight="13020" tabRatio="942" xr2:uid="{73ED66C9-54A1-4791-A342-EC363396E5EE}"/>
  </bookViews>
  <sheets>
    <sheet name="GARTNER LEADER'S TOOL" sheetId="19" r:id="rId1"/>
    <sheet name="Step 0 - About Prism" sheetId="10" r:id="rId2"/>
    <sheet name="Step 1 - Fill in Details" sheetId="4" r:id="rId3"/>
    <sheet name="Step 2 - Scoring" sheetId="2" r:id="rId4"/>
    <sheet name="(VIEW) Symbol Sheet" sheetId="7" r:id="rId5"/>
    <sheet name="Step 3 - Create Pipeline" sheetId="5" r:id="rId6"/>
    <sheet name="(VIEW) Prism" sheetId="14" r:id="rId7"/>
    <sheet name="Sandbox" sheetId="15" state="hidden" r:id="rId8"/>
    <sheet name="Version History" sheetId="18" state="hidden" r:id="rId9"/>
  </sheets>
  <externalReferences>
    <externalReference r:id="rId10"/>
  </externalReferences>
  <definedNames>
    <definedName name="iIndustry" localSheetId="0">'[1]Step 1 - Fill in Details'!$Q$18</definedName>
    <definedName name="iIndustry">'Step 1 - Fill in Details'!$Q$18</definedName>
    <definedName name="iTechnology" localSheetId="0">'[1]Step 1 - Fill in Details'!$Q$8</definedName>
    <definedName name="iTechnology">'Step 1 - Fill in Details'!$Q$8</definedName>
    <definedName name="superscript" localSheetId="0">'[1](VIEW) Symbol Sheet'!$D:$D,'[1](VIEW) Symbol Sheet'!$F:$F,'[1](VIEW) Symbol Sheet'!$H:$H,'[1](VIEW) Symbol Sheet'!$J:$J,'[1](VIEW) Symbol Sheet'!$L:$L,'[1](VIEW) Symbol Sheet'!$O:$O,'[1](VIEW) Symbol Sheet'!$Q:$Q,'[1](VIEW) Symbol Sheet'!$S:$S,'[1](VIEW) Symbol Sheet'!$U:$U,'[1](VIEW) Symbol Sheet'!$W:$W</definedName>
    <definedName name="superscript">'(VIEW) Symbol Sheet'!$D:$D,'(VIEW) Symbol Sheet'!$F:$F,'(VIEW) Symbol Sheet'!$H:$H,'(VIEW) Symbol Sheet'!$J:$J,'(VIEW) Symbol Sheet'!$L:$L,'(VIEW) Symbol Sheet'!$O:$O,'(VIEW) Symbol Sheet'!$Q:$Q,'(VIEW) Symbol Sheet'!$S:$S,'(VIEW) Symbol Sheet'!$U:$U,'(VIEW) Symbol Sheet'!$W:$W</definedName>
    <definedName name="ToSor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8" i="5" l="1"/>
  <c r="P13" i="2"/>
  <c r="P14" i="2"/>
  <c r="P15" i="2"/>
  <c r="P16" i="2"/>
  <c r="P17" i="2"/>
  <c r="P18" i="2"/>
  <c r="P19" i="2"/>
  <c r="P20" i="2"/>
  <c r="P21" i="2"/>
  <c r="P22" i="2"/>
  <c r="P23" i="2"/>
  <c r="P24" i="2"/>
  <c r="P25" i="2"/>
  <c r="P26" i="2"/>
  <c r="P27" i="2"/>
  <c r="P28" i="2"/>
  <c r="P29" i="2"/>
  <c r="P30" i="2"/>
  <c r="P31" i="2"/>
  <c r="P32" i="2"/>
  <c r="P33" i="2"/>
  <c r="P34" i="2"/>
  <c r="P35" i="2"/>
  <c r="P11" i="2"/>
  <c r="AY13" i="2"/>
  <c r="AY14" i="2"/>
  <c r="AY15" i="2"/>
  <c r="AY16" i="2"/>
  <c r="AY17" i="2"/>
  <c r="AY18" i="2"/>
  <c r="AY19" i="2"/>
  <c r="AY20" i="2"/>
  <c r="AY21" i="2"/>
  <c r="AY22" i="2"/>
  <c r="AY23" i="2"/>
  <c r="AY24" i="2"/>
  <c r="AY25" i="2"/>
  <c r="AY26" i="2"/>
  <c r="AY27" i="2"/>
  <c r="AY28" i="2"/>
  <c r="AY29" i="2"/>
  <c r="AY30" i="2"/>
  <c r="AY31" i="2"/>
  <c r="AY32" i="2"/>
  <c r="AY33" i="2"/>
  <c r="AY34" i="2"/>
  <c r="AY35" i="2"/>
  <c r="AY11" i="2"/>
  <c r="AX11" i="2"/>
  <c r="O12" i="2" l="1"/>
  <c r="O13" i="2"/>
  <c r="O14" i="2"/>
  <c r="O15" i="2"/>
  <c r="O16" i="2"/>
  <c r="O17" i="2"/>
  <c r="O18" i="2"/>
  <c r="O19" i="2"/>
  <c r="O20" i="2"/>
  <c r="O21" i="2"/>
  <c r="O22" i="2"/>
  <c r="O23" i="2"/>
  <c r="O24" i="2"/>
  <c r="O25" i="2"/>
  <c r="O26" i="2"/>
  <c r="O27" i="2"/>
  <c r="O28" i="2"/>
  <c r="O29" i="2"/>
  <c r="O30" i="2"/>
  <c r="O31" i="2"/>
  <c r="O32" i="2"/>
  <c r="O33" i="2"/>
  <c r="O34" i="2"/>
  <c r="O35" i="2"/>
  <c r="AW35" i="2" l="1"/>
  <c r="AV35" i="2"/>
  <c r="AU35" i="2"/>
  <c r="AT35" i="2"/>
  <c r="AS35" i="2"/>
  <c r="AQ35" i="2"/>
  <c r="AK35" i="2" a="1"/>
  <c r="AK35" i="2" s="1"/>
  <c r="AJ35" i="2"/>
  <c r="AI35" i="2"/>
  <c r="AH35" i="2"/>
  <c r="AG35" i="2"/>
  <c r="AF35" i="2"/>
  <c r="X35" i="2" a="1"/>
  <c r="X35" i="2" s="1"/>
  <c r="U35" i="2"/>
  <c r="AW34" i="2"/>
  <c r="AV34" i="2"/>
  <c r="AU34" i="2"/>
  <c r="AT34" i="2"/>
  <c r="AS34" i="2"/>
  <c r="AK34" i="2" a="1"/>
  <c r="AK34" i="2" s="1"/>
  <c r="AQ34" i="2" s="1"/>
  <c r="AJ34" i="2"/>
  <c r="AI34" i="2"/>
  <c r="AH34" i="2"/>
  <c r="AG34" i="2"/>
  <c r="AF34" i="2"/>
  <c r="X34" i="2" a="1"/>
  <c r="X34" i="2" s="1"/>
  <c r="AB34" i="2" s="1"/>
  <c r="U34" i="2"/>
  <c r="AW33" i="2"/>
  <c r="AV33" i="2"/>
  <c r="AU33" i="2"/>
  <c r="AT33" i="2"/>
  <c r="AS33" i="2"/>
  <c r="AK33" i="2" a="1"/>
  <c r="AK33" i="2" s="1"/>
  <c r="AJ33" i="2"/>
  <c r="AI33" i="2"/>
  <c r="AH33" i="2"/>
  <c r="AG33" i="2"/>
  <c r="AF33" i="2"/>
  <c r="X33" i="2" a="1"/>
  <c r="X33" i="2" s="1"/>
  <c r="U33" i="2"/>
  <c r="AW32" i="2"/>
  <c r="AV32" i="2"/>
  <c r="AU32" i="2"/>
  <c r="AT32" i="2"/>
  <c r="AS32" i="2"/>
  <c r="AK32" i="2" a="1"/>
  <c r="AK32" i="2" s="1"/>
  <c r="AJ32" i="2"/>
  <c r="AI32" i="2"/>
  <c r="AH32" i="2"/>
  <c r="AG32" i="2"/>
  <c r="AF32" i="2"/>
  <c r="X32" i="2" a="1"/>
  <c r="X32" i="2" s="1"/>
  <c r="U32" i="2"/>
  <c r="AW31" i="2"/>
  <c r="AV31" i="2"/>
  <c r="AU31" i="2"/>
  <c r="AT31" i="2"/>
  <c r="AS31" i="2"/>
  <c r="AK31" i="2" a="1"/>
  <c r="AK31" i="2" s="1"/>
  <c r="AJ31" i="2"/>
  <c r="AI31" i="2"/>
  <c r="AH31" i="2"/>
  <c r="AG31" i="2"/>
  <c r="AF31" i="2"/>
  <c r="X31" i="2" a="1"/>
  <c r="X31" i="2" s="1"/>
  <c r="U31" i="2"/>
  <c r="AW30" i="2"/>
  <c r="AV30" i="2"/>
  <c r="AU30" i="2"/>
  <c r="AT30" i="2"/>
  <c r="AS30" i="2"/>
  <c r="AK30" i="2" a="1"/>
  <c r="AK30" i="2" s="1"/>
  <c r="AJ30" i="2"/>
  <c r="AI30" i="2"/>
  <c r="AH30" i="2"/>
  <c r="AG30" i="2"/>
  <c r="AF30" i="2"/>
  <c r="AB30" i="2"/>
  <c r="X30" i="2" a="1"/>
  <c r="X30" i="2" s="1"/>
  <c r="U30" i="2"/>
  <c r="AW29" i="2"/>
  <c r="AV29" i="2"/>
  <c r="AU29" i="2"/>
  <c r="AT29" i="2"/>
  <c r="AS29" i="2"/>
  <c r="AQ29" i="2"/>
  <c r="AK29" i="2" a="1"/>
  <c r="AK29" i="2" s="1"/>
  <c r="AJ29" i="2"/>
  <c r="AI29" i="2"/>
  <c r="AH29" i="2"/>
  <c r="AG29" i="2"/>
  <c r="AF29" i="2"/>
  <c r="X29" i="2" a="1"/>
  <c r="X29" i="2" s="1"/>
  <c r="U29" i="2"/>
  <c r="AW28" i="2"/>
  <c r="AV28" i="2"/>
  <c r="AU28" i="2"/>
  <c r="AT28" i="2"/>
  <c r="AS28" i="2"/>
  <c r="AK28" i="2" a="1"/>
  <c r="AK28" i="2" s="1"/>
  <c r="AJ28" i="2"/>
  <c r="AI28" i="2"/>
  <c r="AH28" i="2"/>
  <c r="AG28" i="2"/>
  <c r="AF28" i="2"/>
  <c r="AB28" i="2"/>
  <c r="X28" i="2" a="1"/>
  <c r="X28" i="2" s="1"/>
  <c r="U28" i="2"/>
  <c r="AW27" i="2"/>
  <c r="AV27" i="2"/>
  <c r="AU27" i="2"/>
  <c r="AT27" i="2"/>
  <c r="AS27" i="2"/>
  <c r="AQ27" i="2"/>
  <c r="AK27" i="2" a="1"/>
  <c r="AK27" i="2" s="1"/>
  <c r="AJ27" i="2"/>
  <c r="AI27" i="2"/>
  <c r="AH27" i="2"/>
  <c r="AG27" i="2"/>
  <c r="AF27" i="2"/>
  <c r="X27" i="2" a="1"/>
  <c r="X27" i="2" s="1"/>
  <c r="AB27" i="2" s="1"/>
  <c r="U27" i="2"/>
  <c r="AW26" i="2"/>
  <c r="AV26" i="2"/>
  <c r="AU26" i="2"/>
  <c r="AT26" i="2"/>
  <c r="AS26" i="2"/>
  <c r="AK26" i="2" a="1"/>
  <c r="AK26" i="2" s="1"/>
  <c r="AQ26" i="2" s="1"/>
  <c r="AJ26" i="2"/>
  <c r="AI26" i="2"/>
  <c r="AH26" i="2"/>
  <c r="AG26" i="2"/>
  <c r="AF26" i="2"/>
  <c r="X26" i="2" a="1"/>
  <c r="X26" i="2" s="1"/>
  <c r="U26" i="2"/>
  <c r="AW25" i="2"/>
  <c r="AV25" i="2"/>
  <c r="AU25" i="2"/>
  <c r="AT25" i="2"/>
  <c r="AS25" i="2"/>
  <c r="AK25" i="2" a="1"/>
  <c r="AK25" i="2" s="1"/>
  <c r="AQ25" i="2" s="1"/>
  <c r="AJ25" i="2"/>
  <c r="AI25" i="2"/>
  <c r="AH25" i="2"/>
  <c r="AG25" i="2"/>
  <c r="AF25" i="2"/>
  <c r="X25" i="2" a="1"/>
  <c r="X25" i="2" s="1"/>
  <c r="U25" i="2"/>
  <c r="AW24" i="2"/>
  <c r="AV24" i="2"/>
  <c r="AU24" i="2"/>
  <c r="AT24" i="2"/>
  <c r="AS24" i="2"/>
  <c r="AQ24" i="2"/>
  <c r="AK24" i="2" a="1"/>
  <c r="AK24" i="2" s="1"/>
  <c r="AJ24" i="2"/>
  <c r="AI24" i="2"/>
  <c r="AH24" i="2"/>
  <c r="AG24" i="2"/>
  <c r="AF24" i="2"/>
  <c r="X24" i="2" a="1"/>
  <c r="X24" i="2" s="1"/>
  <c r="U24" i="2"/>
  <c r="AW23" i="2"/>
  <c r="AV23" i="2"/>
  <c r="AU23" i="2"/>
  <c r="AT23" i="2"/>
  <c r="AS23" i="2"/>
  <c r="AK23" i="2" a="1"/>
  <c r="AK23" i="2" s="1"/>
  <c r="AJ23" i="2"/>
  <c r="AI23" i="2"/>
  <c r="AH23" i="2"/>
  <c r="AG23" i="2"/>
  <c r="AF23" i="2"/>
  <c r="X23" i="2" a="1"/>
  <c r="X23" i="2" s="1"/>
  <c r="U23" i="2"/>
  <c r="AW22" i="2"/>
  <c r="AV22" i="2"/>
  <c r="AU22" i="2"/>
  <c r="AT22" i="2"/>
  <c r="AS22" i="2"/>
  <c r="AQ22" i="2"/>
  <c r="AK22" i="2" a="1"/>
  <c r="AK22" i="2" s="1"/>
  <c r="AJ22" i="2"/>
  <c r="AI22" i="2"/>
  <c r="AH22" i="2"/>
  <c r="AG22" i="2"/>
  <c r="AF22" i="2"/>
  <c r="AB22" i="2"/>
  <c r="X22" i="2" a="1"/>
  <c r="X22" i="2" s="1"/>
  <c r="U22" i="2"/>
  <c r="AW21" i="2"/>
  <c r="AV21" i="2"/>
  <c r="AU21" i="2"/>
  <c r="AT21" i="2"/>
  <c r="AS21" i="2"/>
  <c r="AQ21" i="2"/>
  <c r="AK21" i="2" a="1"/>
  <c r="AK21" i="2" s="1"/>
  <c r="AJ21" i="2"/>
  <c r="AI21" i="2"/>
  <c r="AH21" i="2"/>
  <c r="AG21" i="2"/>
  <c r="AF21" i="2"/>
  <c r="X21" i="2" a="1"/>
  <c r="X21" i="2" s="1"/>
  <c r="U21" i="2"/>
  <c r="AW20" i="2"/>
  <c r="AV20" i="2"/>
  <c r="AU20" i="2"/>
  <c r="AT20" i="2"/>
  <c r="AS20" i="2"/>
  <c r="AK20" i="2" a="1"/>
  <c r="AK20" i="2" s="1"/>
  <c r="AJ20" i="2"/>
  <c r="AI20" i="2"/>
  <c r="AH20" i="2"/>
  <c r="AG20" i="2"/>
  <c r="AF20" i="2"/>
  <c r="AB20" i="2"/>
  <c r="X20" i="2" a="1"/>
  <c r="X20" i="2" s="1"/>
  <c r="U20" i="2"/>
  <c r="AW19" i="2"/>
  <c r="AV19" i="2"/>
  <c r="AU19" i="2"/>
  <c r="AT19" i="2"/>
  <c r="AS19" i="2"/>
  <c r="AQ19" i="2"/>
  <c r="AK19" i="2" a="1"/>
  <c r="AK19" i="2" s="1"/>
  <c r="AJ19" i="2"/>
  <c r="AI19" i="2"/>
  <c r="AH19" i="2"/>
  <c r="AG19" i="2"/>
  <c r="AF19" i="2"/>
  <c r="AC19" i="2"/>
  <c r="AB19" i="2"/>
  <c r="X19" i="2" a="1"/>
  <c r="X19" i="2" s="1"/>
  <c r="U19" i="2"/>
  <c r="AW18" i="2"/>
  <c r="AV18" i="2"/>
  <c r="AU18" i="2"/>
  <c r="AT18" i="2"/>
  <c r="AS18" i="2"/>
  <c r="AK18" i="2" a="1"/>
  <c r="AK18" i="2" s="1"/>
  <c r="AQ18" i="2" s="1"/>
  <c r="AJ18" i="2"/>
  <c r="AI18" i="2"/>
  <c r="AH18" i="2"/>
  <c r="AG18" i="2"/>
  <c r="AF18" i="2"/>
  <c r="AC18" i="2"/>
  <c r="X18" i="2" a="1"/>
  <c r="X18" i="2" s="1"/>
  <c r="AB18" i="2" s="1"/>
  <c r="U18" i="2"/>
  <c r="AW17" i="2"/>
  <c r="AV17" i="2"/>
  <c r="AU17" i="2"/>
  <c r="AT17" i="2"/>
  <c r="AS17" i="2"/>
  <c r="AK17" i="2" a="1"/>
  <c r="AK17" i="2" s="1"/>
  <c r="AJ17" i="2"/>
  <c r="AI17" i="2"/>
  <c r="AH17" i="2"/>
  <c r="AG17" i="2"/>
  <c r="AF17" i="2"/>
  <c r="AC17" i="2"/>
  <c r="X17" i="2" a="1"/>
  <c r="X17" i="2" s="1"/>
  <c r="U17" i="2"/>
  <c r="AW16" i="2"/>
  <c r="AV16" i="2"/>
  <c r="AU16" i="2"/>
  <c r="AT16" i="2"/>
  <c r="AS16" i="2"/>
  <c r="AK16" i="2" a="1"/>
  <c r="AK16" i="2" s="1"/>
  <c r="AJ16" i="2"/>
  <c r="AI16" i="2"/>
  <c r="AH16" i="2"/>
  <c r="AG16" i="2"/>
  <c r="AF16" i="2"/>
  <c r="X16" i="2" a="1"/>
  <c r="X16" i="2" s="1"/>
  <c r="AB16" i="2" s="1"/>
  <c r="U16" i="2"/>
  <c r="AW15" i="2"/>
  <c r="AV15" i="2"/>
  <c r="AU15" i="2"/>
  <c r="AT15" i="2"/>
  <c r="AS15" i="2"/>
  <c r="AQ15" i="2"/>
  <c r="AK15" i="2" a="1"/>
  <c r="AK15" i="2" s="1"/>
  <c r="AJ15" i="2"/>
  <c r="AI15" i="2"/>
  <c r="AH15" i="2"/>
  <c r="AG15" i="2"/>
  <c r="AF15" i="2"/>
  <c r="AC15" i="2"/>
  <c r="AB15" i="2"/>
  <c r="X15" i="2" a="1"/>
  <c r="X15" i="2" s="1"/>
  <c r="U15" i="2"/>
  <c r="AW14" i="2"/>
  <c r="AV14" i="2"/>
  <c r="AU14" i="2"/>
  <c r="AT14" i="2"/>
  <c r="AS14" i="2"/>
  <c r="AK14" i="2" a="1"/>
  <c r="AK14" i="2" s="1"/>
  <c r="AQ14" i="2" s="1"/>
  <c r="AJ14" i="2"/>
  <c r="AI14" i="2"/>
  <c r="AH14" i="2"/>
  <c r="AG14" i="2"/>
  <c r="AF14" i="2"/>
  <c r="AC14" i="2"/>
  <c r="X14" i="2" a="1"/>
  <c r="X14" i="2" s="1"/>
  <c r="AB14" i="2" s="1"/>
  <c r="U14" i="2"/>
  <c r="AW13" i="2"/>
  <c r="AV13" i="2"/>
  <c r="AU13" i="2"/>
  <c r="AT13" i="2"/>
  <c r="AS13" i="2"/>
  <c r="AK13" i="2" a="1"/>
  <c r="AK13" i="2" s="1"/>
  <c r="AJ13" i="2"/>
  <c r="AI13" i="2"/>
  <c r="AH13" i="2"/>
  <c r="AG13" i="2"/>
  <c r="AF13" i="2"/>
  <c r="AC13" i="2"/>
  <c r="X13" i="2" a="1"/>
  <c r="X13" i="2" s="1"/>
  <c r="U13" i="2"/>
  <c r="AW12" i="2"/>
  <c r="AV12" i="2"/>
  <c r="AU12" i="2"/>
  <c r="AT12" i="2"/>
  <c r="AS12" i="2"/>
  <c r="AK12" i="2" a="1"/>
  <c r="AK12" i="2" s="1"/>
  <c r="AJ12" i="2"/>
  <c r="AI12" i="2"/>
  <c r="AH12" i="2"/>
  <c r="AG12" i="2"/>
  <c r="AF12" i="2"/>
  <c r="X12" i="2" a="1"/>
  <c r="X12" i="2" s="1"/>
  <c r="AC12" i="2" s="1"/>
  <c r="AK11" i="2" a="1"/>
  <c r="AK11" i="2" s="1"/>
  <c r="AT11" i="2"/>
  <c r="AU11" i="2"/>
  <c r="AV11" i="2"/>
  <c r="AW11" i="2"/>
  <c r="AS11" i="2"/>
  <c r="X11" i="2" a="1"/>
  <c r="X11" i="2" s="1"/>
  <c r="AJ11" i="2"/>
  <c r="AI11" i="2"/>
  <c r="AH11" i="2"/>
  <c r="AG11" i="2"/>
  <c r="AF11" i="2"/>
  <c r="AC11" i="2" l="1"/>
  <c r="AA11" i="2"/>
  <c r="Z11" i="2"/>
  <c r="Y11" i="2"/>
  <c r="AN11" i="2"/>
  <c r="AL11" i="2"/>
  <c r="AA35" i="2"/>
  <c r="Z35" i="2"/>
  <c r="Y35" i="2"/>
  <c r="AC35" i="2"/>
  <c r="AD35" i="2"/>
  <c r="AP33" i="2"/>
  <c r="AO33" i="2"/>
  <c r="AN33" i="2"/>
  <c r="AM33" i="2"/>
  <c r="AL33" i="2"/>
  <c r="AP20" i="2"/>
  <c r="AO20" i="2"/>
  <c r="AN20" i="2"/>
  <c r="AM20" i="2"/>
  <c r="AL20" i="2"/>
  <c r="AA21" i="2"/>
  <c r="Z21" i="2"/>
  <c r="Y21" i="2"/>
  <c r="AC21" i="2"/>
  <c r="AD21" i="2"/>
  <c r="AP28" i="2"/>
  <c r="AO28" i="2"/>
  <c r="AN28" i="2"/>
  <c r="AM28" i="2"/>
  <c r="AL28" i="2"/>
  <c r="AA29" i="2"/>
  <c r="Z29" i="2"/>
  <c r="AC29" i="2"/>
  <c r="Y29" i="2"/>
  <c r="AE29" i="2" s="1"/>
  <c r="AD29" i="2"/>
  <c r="AA15" i="2"/>
  <c r="Z15" i="2"/>
  <c r="Y15" i="2"/>
  <c r="AD15" i="2"/>
  <c r="AP15" i="2"/>
  <c r="AO15" i="2"/>
  <c r="AN15" i="2"/>
  <c r="AM15" i="2"/>
  <c r="AL15" i="2"/>
  <c r="AA19" i="2"/>
  <c r="Z19" i="2"/>
  <c r="Y19" i="2"/>
  <c r="AD19" i="2"/>
  <c r="AP19" i="2"/>
  <c r="AO19" i="2"/>
  <c r="AN19" i="2"/>
  <c r="AM19" i="2"/>
  <c r="AL19" i="2"/>
  <c r="AA20" i="2"/>
  <c r="Z20" i="2"/>
  <c r="Y20" i="2"/>
  <c r="AC20" i="2"/>
  <c r="AD20" i="2"/>
  <c r="AQ20" i="2"/>
  <c r="AB21" i="2"/>
  <c r="AP27" i="2"/>
  <c r="AO27" i="2"/>
  <c r="AN27" i="2"/>
  <c r="AM27" i="2"/>
  <c r="AL27" i="2"/>
  <c r="AA28" i="2"/>
  <c r="Z28" i="2"/>
  <c r="Y28" i="2"/>
  <c r="AC28" i="2"/>
  <c r="AD28" i="2"/>
  <c r="AQ28" i="2"/>
  <c r="AB29" i="2"/>
  <c r="AP35" i="2"/>
  <c r="AO35" i="2"/>
  <c r="AN35" i="2"/>
  <c r="AM35" i="2"/>
  <c r="AL35" i="2"/>
  <c r="AP16" i="2"/>
  <c r="AO16" i="2"/>
  <c r="AN16" i="2"/>
  <c r="AM16" i="2"/>
  <c r="AL16" i="2"/>
  <c r="AA26" i="2"/>
  <c r="Z26" i="2"/>
  <c r="Y26" i="2"/>
  <c r="AD26" i="2"/>
  <c r="AC26" i="2"/>
  <c r="AB12" i="2"/>
  <c r="AQ16" i="2"/>
  <c r="AP24" i="2"/>
  <c r="AO24" i="2"/>
  <c r="AN24" i="2"/>
  <c r="AM24" i="2"/>
  <c r="AL24" i="2"/>
  <c r="AA25" i="2"/>
  <c r="AC25" i="2"/>
  <c r="Z25" i="2"/>
  <c r="Y25" i="2"/>
  <c r="AE25" i="2" s="1"/>
  <c r="AD25" i="2"/>
  <c r="AB26" i="2"/>
  <c r="AP32" i="2"/>
  <c r="AO32" i="2"/>
  <c r="AN32" i="2"/>
  <c r="AM32" i="2"/>
  <c r="AL32" i="2"/>
  <c r="AA33" i="2"/>
  <c r="Z33" i="2"/>
  <c r="Y33" i="2"/>
  <c r="AC33" i="2"/>
  <c r="AD33" i="2"/>
  <c r="AQ33" i="2"/>
  <c r="AA16" i="2"/>
  <c r="Z16" i="2"/>
  <c r="Y16" i="2"/>
  <c r="AD16" i="2"/>
  <c r="AP25" i="2"/>
  <c r="AO25" i="2"/>
  <c r="AN25" i="2"/>
  <c r="AM25" i="2"/>
  <c r="AL25" i="2"/>
  <c r="AB35" i="2"/>
  <c r="AA13" i="2"/>
  <c r="Z13" i="2"/>
  <c r="Y13" i="2"/>
  <c r="AD13" i="2"/>
  <c r="AP13" i="2"/>
  <c r="AO13" i="2"/>
  <c r="AN13" i="2"/>
  <c r="AM13" i="2"/>
  <c r="AL13" i="2"/>
  <c r="AC16" i="2"/>
  <c r="AA17" i="2"/>
  <c r="Z17" i="2"/>
  <c r="Y17" i="2"/>
  <c r="AD17" i="2"/>
  <c r="AP17" i="2"/>
  <c r="AO17" i="2"/>
  <c r="AN17" i="2"/>
  <c r="AM17" i="2"/>
  <c r="AL17" i="2"/>
  <c r="AP23" i="2"/>
  <c r="AO23" i="2"/>
  <c r="AN23" i="2"/>
  <c r="AM23" i="2"/>
  <c r="AL23" i="2"/>
  <c r="AA24" i="2"/>
  <c r="Z24" i="2"/>
  <c r="Y24" i="2"/>
  <c r="AD24" i="2"/>
  <c r="AC24" i="2"/>
  <c r="AB25" i="2"/>
  <c r="AP31" i="2"/>
  <c r="AO31" i="2"/>
  <c r="AN31" i="2"/>
  <c r="AM31" i="2"/>
  <c r="AL31" i="2"/>
  <c r="AA32" i="2"/>
  <c r="Z32" i="2"/>
  <c r="Y32" i="2"/>
  <c r="AC32" i="2"/>
  <c r="AD32" i="2"/>
  <c r="AQ32" i="2"/>
  <c r="AB33" i="2"/>
  <c r="AP12" i="2"/>
  <c r="AO12" i="2"/>
  <c r="AN12" i="2"/>
  <c r="AM12" i="2"/>
  <c r="AL12" i="2"/>
  <c r="AB13" i="2"/>
  <c r="AQ13" i="2"/>
  <c r="AB17" i="2"/>
  <c r="AQ17" i="2"/>
  <c r="AP22" i="2"/>
  <c r="AO22" i="2"/>
  <c r="AN22" i="2"/>
  <c r="AM22" i="2"/>
  <c r="AL22" i="2"/>
  <c r="AA23" i="2"/>
  <c r="AC23" i="2"/>
  <c r="Z23" i="2"/>
  <c r="Y23" i="2"/>
  <c r="AD23" i="2"/>
  <c r="AQ23" i="2"/>
  <c r="AB24" i="2"/>
  <c r="AP30" i="2"/>
  <c r="AO30" i="2"/>
  <c r="AN30" i="2"/>
  <c r="AM30" i="2"/>
  <c r="AL30" i="2"/>
  <c r="AA31" i="2"/>
  <c r="Z31" i="2"/>
  <c r="Y31" i="2"/>
  <c r="AC31" i="2"/>
  <c r="AD31" i="2"/>
  <c r="AQ31" i="2"/>
  <c r="AB32" i="2"/>
  <c r="AP26" i="2"/>
  <c r="AO26" i="2"/>
  <c r="AN26" i="2"/>
  <c r="AM26" i="2"/>
  <c r="AL26" i="2"/>
  <c r="AA27" i="2"/>
  <c r="Z27" i="2"/>
  <c r="Y27" i="2"/>
  <c r="AD27" i="2"/>
  <c r="AC27" i="2"/>
  <c r="AP34" i="2"/>
  <c r="AO34" i="2"/>
  <c r="AN34" i="2"/>
  <c r="AM34" i="2"/>
  <c r="AL34" i="2"/>
  <c r="AA12" i="2"/>
  <c r="Z12" i="2"/>
  <c r="Y12" i="2"/>
  <c r="AY12" i="2" s="1"/>
  <c r="P12" i="2" s="1"/>
  <c r="AA34" i="2"/>
  <c r="Z34" i="2"/>
  <c r="Y34" i="2"/>
  <c r="AE34" i="2" s="1"/>
  <c r="AD34" i="2"/>
  <c r="AC34" i="2"/>
  <c r="AA14" i="2"/>
  <c r="Z14" i="2"/>
  <c r="Y14" i="2"/>
  <c r="AD14" i="2"/>
  <c r="AP14" i="2"/>
  <c r="AO14" i="2"/>
  <c r="AN14" i="2"/>
  <c r="AM14" i="2"/>
  <c r="AL14" i="2"/>
  <c r="AA18" i="2"/>
  <c r="Z18" i="2"/>
  <c r="Y18" i="2"/>
  <c r="AD18" i="2"/>
  <c r="AP18" i="2"/>
  <c r="AO18" i="2"/>
  <c r="AN18" i="2"/>
  <c r="AM18" i="2"/>
  <c r="AL18" i="2"/>
  <c r="AP21" i="2"/>
  <c r="AO21" i="2"/>
  <c r="AN21" i="2"/>
  <c r="AM21" i="2"/>
  <c r="AL21" i="2"/>
  <c r="AA22" i="2"/>
  <c r="Z22" i="2"/>
  <c r="Y22" i="2"/>
  <c r="AC22" i="2"/>
  <c r="AD22" i="2"/>
  <c r="AB23" i="2"/>
  <c r="AP29" i="2"/>
  <c r="AO29" i="2"/>
  <c r="AN29" i="2"/>
  <c r="AM29" i="2"/>
  <c r="AL29" i="2"/>
  <c r="AA30" i="2"/>
  <c r="Z30" i="2"/>
  <c r="AC30" i="2"/>
  <c r="Y30" i="2"/>
  <c r="AE30" i="2" s="1"/>
  <c r="AD30" i="2"/>
  <c r="AQ30" i="2"/>
  <c r="AB31" i="2"/>
  <c r="AP11" i="2"/>
  <c r="AM11" i="2"/>
  <c r="AO11" i="2"/>
  <c r="AB11" i="2"/>
  <c r="X7" i="7" a="1"/>
  <c r="X7" i="7" s="1"/>
  <c r="X8" i="7" a="1"/>
  <c r="X8" i="7" s="1"/>
  <c r="X9" i="7" a="1"/>
  <c r="X9" i="7" s="1"/>
  <c r="X10" i="7" a="1"/>
  <c r="X10" i="7" s="1"/>
  <c r="X11" i="7" a="1"/>
  <c r="X11" i="7" s="1"/>
  <c r="X12" i="7" a="1"/>
  <c r="X12" i="7" s="1"/>
  <c r="X13" i="7" a="1"/>
  <c r="X13" i="7" s="1"/>
  <c r="X14" i="7" a="1"/>
  <c r="X14" i="7" s="1"/>
  <c r="X15" i="7" a="1"/>
  <c r="X15" i="7" s="1"/>
  <c r="X16" i="7" a="1"/>
  <c r="X16" i="7" s="1"/>
  <c r="X17" i="7" a="1"/>
  <c r="X17" i="7" s="1"/>
  <c r="X18" i="7" a="1"/>
  <c r="X18" i="7" s="1"/>
  <c r="X19" i="7" a="1"/>
  <c r="X19" i="7" s="1"/>
  <c r="X20" i="7" a="1"/>
  <c r="X20" i="7" s="1"/>
  <c r="X21" i="7" a="1"/>
  <c r="X21" i="7" s="1"/>
  <c r="X22" i="7" a="1"/>
  <c r="X22" i="7" s="1"/>
  <c r="X23" i="7" a="1"/>
  <c r="X23" i="7" s="1"/>
  <c r="X24" i="7" a="1"/>
  <c r="X24" i="7" s="1"/>
  <c r="X25" i="7" a="1"/>
  <c r="X25" i="7" s="1"/>
  <c r="X26" i="7" a="1"/>
  <c r="X26" i="7" s="1"/>
  <c r="X27" i="7" a="1"/>
  <c r="X27" i="7" s="1"/>
  <c r="X28" i="7" a="1"/>
  <c r="X28" i="7" s="1"/>
  <c r="X29" i="7" a="1"/>
  <c r="X29" i="7" s="1"/>
  <c r="X30" i="7" a="1"/>
  <c r="X30" i="7" s="1"/>
  <c r="X6" i="7" a="1"/>
  <c r="X6" i="7" s="1"/>
  <c r="V7" i="7" a="1"/>
  <c r="V7" i="7" s="1"/>
  <c r="V8" i="7" a="1"/>
  <c r="V8" i="7" s="1"/>
  <c r="V9" i="7" a="1"/>
  <c r="V9" i="7" s="1"/>
  <c r="V10" i="7" a="1"/>
  <c r="V10" i="7"/>
  <c r="V11" i="7" a="1"/>
  <c r="V11" i="7" s="1"/>
  <c r="V12" i="7" a="1"/>
  <c r="V12" i="7" s="1"/>
  <c r="V13" i="7" a="1"/>
  <c r="V13" i="7" s="1"/>
  <c r="V14" i="7" a="1"/>
  <c r="V14" i="7" s="1"/>
  <c r="V15" i="7" a="1"/>
  <c r="V15" i="7" s="1"/>
  <c r="V16" i="7" a="1"/>
  <c r="V16" i="7" s="1"/>
  <c r="V17" i="7" a="1"/>
  <c r="V17" i="7" s="1"/>
  <c r="V18" i="7" a="1"/>
  <c r="V18" i="7" s="1"/>
  <c r="V19" i="7" a="1"/>
  <c r="V19" i="7" s="1"/>
  <c r="V20" i="7" a="1"/>
  <c r="V20" i="7" s="1"/>
  <c r="V21" i="7" a="1"/>
  <c r="V21" i="7" s="1"/>
  <c r="V22" i="7" a="1"/>
  <c r="V22" i="7" s="1"/>
  <c r="V23" i="7" a="1"/>
  <c r="V23" i="7" s="1"/>
  <c r="V24" i="7" a="1"/>
  <c r="V24" i="7" s="1"/>
  <c r="V25" i="7" a="1"/>
  <c r="V25" i="7" s="1"/>
  <c r="V26" i="7" a="1"/>
  <c r="V26" i="7" s="1"/>
  <c r="V27" i="7" a="1"/>
  <c r="V27" i="7" s="1"/>
  <c r="V28" i="7" a="1"/>
  <c r="V28" i="7" s="1"/>
  <c r="V29" i="7" a="1"/>
  <c r="V29" i="7" s="1"/>
  <c r="V30" i="7" a="1"/>
  <c r="V30" i="7" s="1"/>
  <c r="V6" i="7" a="1"/>
  <c r="V6" i="7" s="1"/>
  <c r="T7" i="7" a="1"/>
  <c r="T7" i="7" s="1"/>
  <c r="T8" i="7" a="1"/>
  <c r="T8" i="7" s="1"/>
  <c r="T9" i="7" a="1"/>
  <c r="T9" i="7" s="1"/>
  <c r="T10" i="7" a="1"/>
  <c r="T10" i="7" s="1"/>
  <c r="T11" i="7" a="1"/>
  <c r="T11" i="7" s="1"/>
  <c r="T12" i="7" a="1"/>
  <c r="T12" i="7" s="1"/>
  <c r="T13" i="7" a="1"/>
  <c r="T13" i="7" s="1"/>
  <c r="T14" i="7" a="1"/>
  <c r="T14" i="7" s="1"/>
  <c r="T15" i="7" a="1"/>
  <c r="T15" i="7" s="1"/>
  <c r="T16" i="7" a="1"/>
  <c r="T16" i="7" s="1"/>
  <c r="T17" i="7" a="1"/>
  <c r="T17" i="7" s="1"/>
  <c r="T18" i="7" a="1"/>
  <c r="T18" i="7" s="1"/>
  <c r="T19" i="7" a="1"/>
  <c r="T19" i="7" s="1"/>
  <c r="T20" i="7" a="1"/>
  <c r="T20" i="7" s="1"/>
  <c r="T21" i="7" a="1"/>
  <c r="T21" i="7" s="1"/>
  <c r="T22" i="7" a="1"/>
  <c r="T22" i="7" s="1"/>
  <c r="T23" i="7" a="1"/>
  <c r="T23" i="7" s="1"/>
  <c r="T24" i="7" a="1"/>
  <c r="T24" i="7" s="1"/>
  <c r="T25" i="7" a="1"/>
  <c r="T25" i="7" s="1"/>
  <c r="T26" i="7" a="1"/>
  <c r="T26" i="7" s="1"/>
  <c r="T27" i="7" a="1"/>
  <c r="T27" i="7" s="1"/>
  <c r="T28" i="7" a="1"/>
  <c r="T28" i="7" s="1"/>
  <c r="T29" i="7" a="1"/>
  <c r="T29" i="7" s="1"/>
  <c r="T30" i="7" a="1"/>
  <c r="T30" i="7"/>
  <c r="T6" i="7" a="1"/>
  <c r="T6" i="7" s="1"/>
  <c r="R7" i="7" a="1"/>
  <c r="R7" i="7" s="1"/>
  <c r="R8" i="7" a="1"/>
  <c r="R8" i="7" s="1"/>
  <c r="R9" i="7" a="1"/>
  <c r="R9" i="7" s="1"/>
  <c r="R10" i="7" a="1"/>
  <c r="R10" i="7" s="1"/>
  <c r="R11" i="7" a="1"/>
  <c r="R11" i="7" s="1"/>
  <c r="R12" i="7" a="1"/>
  <c r="R12" i="7" s="1"/>
  <c r="R13" i="7" a="1"/>
  <c r="R13" i="7" s="1"/>
  <c r="R14" i="7" a="1"/>
  <c r="R14" i="7" s="1"/>
  <c r="R15" i="7" a="1"/>
  <c r="R15" i="7" s="1"/>
  <c r="R16" i="7" a="1"/>
  <c r="R16" i="7" s="1"/>
  <c r="R17" i="7" a="1"/>
  <c r="R17" i="7" s="1"/>
  <c r="R18" i="7" a="1"/>
  <c r="R18" i="7"/>
  <c r="R19" i="7" a="1"/>
  <c r="R19" i="7" s="1"/>
  <c r="R20" i="7" a="1"/>
  <c r="R20" i="7" s="1"/>
  <c r="R21" i="7" a="1"/>
  <c r="R21" i="7" s="1"/>
  <c r="R22" i="7" a="1"/>
  <c r="R22" i="7" s="1"/>
  <c r="R23" i="7" a="1"/>
  <c r="R23" i="7" s="1"/>
  <c r="R24" i="7" a="1"/>
  <c r="R24" i="7" s="1"/>
  <c r="R25" i="7" a="1"/>
  <c r="R25" i="7" s="1"/>
  <c r="R26" i="7" a="1"/>
  <c r="R26" i="7" s="1"/>
  <c r="R27" i="7" a="1"/>
  <c r="R27" i="7" s="1"/>
  <c r="R28" i="7" a="1"/>
  <c r="R28" i="7" s="1"/>
  <c r="R29" i="7" a="1"/>
  <c r="R29" i="7" s="1"/>
  <c r="R30" i="7" a="1"/>
  <c r="R30" i="7" s="1"/>
  <c r="R6" i="7" a="1"/>
  <c r="R6" i="7" s="1"/>
  <c r="P7" i="7" a="1"/>
  <c r="P7" i="7" s="1"/>
  <c r="P8" i="7" a="1"/>
  <c r="P8" i="7" s="1"/>
  <c r="P9" i="7" a="1"/>
  <c r="P9" i="7" s="1"/>
  <c r="P10" i="7" a="1"/>
  <c r="P10" i="7" s="1"/>
  <c r="P11" i="7" a="1"/>
  <c r="P11" i="7" s="1"/>
  <c r="P12" i="7" a="1"/>
  <c r="P12" i="7" s="1"/>
  <c r="P13" i="7" a="1"/>
  <c r="P13" i="7" s="1"/>
  <c r="P14" i="7" a="1"/>
  <c r="P14" i="7" s="1"/>
  <c r="P15" i="7" a="1"/>
  <c r="P15" i="7" s="1"/>
  <c r="P16" i="7" a="1"/>
  <c r="P16" i="7" s="1"/>
  <c r="P17" i="7" a="1"/>
  <c r="P17" i="7" s="1"/>
  <c r="P18" i="7" a="1"/>
  <c r="P18" i="7" s="1"/>
  <c r="P19" i="7" a="1"/>
  <c r="P19" i="7" s="1"/>
  <c r="P20" i="7" a="1"/>
  <c r="P20" i="7" s="1"/>
  <c r="P21" i="7" a="1"/>
  <c r="P21" i="7" s="1"/>
  <c r="P22" i="7" a="1"/>
  <c r="P22" i="7" s="1"/>
  <c r="P23" i="7" a="1"/>
  <c r="P23" i="7" s="1"/>
  <c r="P24" i="7" a="1"/>
  <c r="P24" i="7" s="1"/>
  <c r="P25" i="7" a="1"/>
  <c r="P25" i="7" s="1"/>
  <c r="P26" i="7" a="1"/>
  <c r="P26" i="7" s="1"/>
  <c r="P27" i="7" a="1"/>
  <c r="P27" i="7" s="1"/>
  <c r="P28" i="7" a="1"/>
  <c r="P28" i="7" s="1"/>
  <c r="P29" i="7" a="1"/>
  <c r="P29" i="7" s="1"/>
  <c r="P30" i="7" a="1"/>
  <c r="P30" i="7" s="1"/>
  <c r="P6" i="7" a="1"/>
  <c r="P6" i="7" s="1"/>
  <c r="D8" i="4"/>
  <c r="A7" i="7" s="1"/>
  <c r="A8" i="7"/>
  <c r="A9" i="7"/>
  <c r="A10" i="7"/>
  <c r="A11" i="7"/>
  <c r="A12" i="7"/>
  <c r="A13" i="7"/>
  <c r="A14" i="7"/>
  <c r="A15" i="7"/>
  <c r="A16" i="7"/>
  <c r="A17" i="7"/>
  <c r="A18" i="7"/>
  <c r="A19" i="7"/>
  <c r="A20" i="7"/>
  <c r="A21" i="7"/>
  <c r="A22" i="7"/>
  <c r="A23" i="7"/>
  <c r="A24" i="7"/>
  <c r="A25" i="7"/>
  <c r="A26" i="7"/>
  <c r="A27" i="7"/>
  <c r="A28" i="7"/>
  <c r="A29" i="7"/>
  <c r="A30" i="7"/>
  <c r="A6" i="7"/>
  <c r="C7" i="7"/>
  <c r="C8" i="7"/>
  <c r="C9" i="7"/>
  <c r="C10" i="7"/>
  <c r="C11" i="7"/>
  <c r="C12" i="7"/>
  <c r="C13" i="7"/>
  <c r="C14" i="7"/>
  <c r="C15" i="7"/>
  <c r="C16" i="7"/>
  <c r="C17" i="7"/>
  <c r="C18" i="7"/>
  <c r="C19" i="7"/>
  <c r="C20" i="7"/>
  <c r="C21" i="7"/>
  <c r="C22" i="7"/>
  <c r="C23" i="7"/>
  <c r="C24" i="7"/>
  <c r="C25" i="7"/>
  <c r="C26" i="7"/>
  <c r="C27" i="7"/>
  <c r="C28" i="7"/>
  <c r="C29" i="7"/>
  <c r="C30" i="7"/>
  <c r="AR11" i="2" l="1"/>
  <c r="AQ11" i="2" s="1"/>
  <c r="AX34" i="2"/>
  <c r="AR34" i="2"/>
  <c r="AX14" i="2"/>
  <c r="AR14" i="2"/>
  <c r="AX30" i="2"/>
  <c r="AR30" i="2"/>
  <c r="AE23" i="2"/>
  <c r="AE26" i="2"/>
  <c r="AX35" i="2"/>
  <c r="AR35" i="2"/>
  <c r="AX19" i="2"/>
  <c r="AR19" i="2"/>
  <c r="AE27" i="2"/>
  <c r="AX31" i="2"/>
  <c r="AR31" i="2"/>
  <c r="AE24" i="2"/>
  <c r="AX17" i="2"/>
  <c r="AR17" i="2"/>
  <c r="AE13" i="2"/>
  <c r="AE33" i="2"/>
  <c r="AE28" i="2"/>
  <c r="AX15" i="2"/>
  <c r="AR15" i="2"/>
  <c r="AX20" i="2"/>
  <c r="AR20" i="2"/>
  <c r="AE16" i="2"/>
  <c r="AX16" i="2"/>
  <c r="AR16" i="2"/>
  <c r="AX21" i="2"/>
  <c r="AR21" i="2"/>
  <c r="AX26" i="2"/>
  <c r="AR26" i="2"/>
  <c r="AX22" i="2"/>
  <c r="AR22" i="2"/>
  <c r="AX23" i="2"/>
  <c r="AR23" i="2"/>
  <c r="AX32" i="2"/>
  <c r="AR32" i="2"/>
  <c r="AX27" i="2"/>
  <c r="AR27" i="2"/>
  <c r="AE18" i="2"/>
  <c r="AE31" i="2"/>
  <c r="AX12" i="2"/>
  <c r="AR12" i="2"/>
  <c r="AQ12" i="2" s="1"/>
  <c r="AX25" i="2"/>
  <c r="AR25" i="2"/>
  <c r="AE20" i="2"/>
  <c r="AE35" i="2"/>
  <c r="AX13" i="2"/>
  <c r="AR13" i="2"/>
  <c r="AE14" i="2"/>
  <c r="AE32" i="2"/>
  <c r="AE19" i="2"/>
  <c r="AE21" i="2"/>
  <c r="AX33" i="2"/>
  <c r="AR33" i="2"/>
  <c r="AX29" i="2"/>
  <c r="AR29" i="2"/>
  <c r="AE22" i="2"/>
  <c r="AX18" i="2"/>
  <c r="AR18" i="2"/>
  <c r="AE12" i="2"/>
  <c r="AD12" i="2" s="1"/>
  <c r="AE17" i="2"/>
  <c r="AX24" i="2"/>
  <c r="AR24" i="2"/>
  <c r="AE15" i="2"/>
  <c r="AX28" i="2"/>
  <c r="AR28" i="2"/>
  <c r="O11" i="2"/>
  <c r="AE11" i="2"/>
  <c r="AD11" i="2" s="1"/>
  <c r="M24" i="4"/>
  <c r="N24" i="4" s="1"/>
  <c r="M14" i="4"/>
  <c r="N14" i="4" s="1"/>
  <c r="D9" i="4" l="1"/>
  <c r="D10" i="4"/>
  <c r="D11" i="4"/>
  <c r="D12" i="4"/>
  <c r="D13" i="4"/>
  <c r="D14" i="4"/>
  <c r="D15" i="4"/>
  <c r="D16" i="4"/>
  <c r="D17" i="4"/>
  <c r="D18" i="4"/>
  <c r="D19" i="4"/>
  <c r="D20" i="4"/>
  <c r="D21" i="4"/>
  <c r="D22" i="4"/>
  <c r="D23" i="4"/>
  <c r="D24" i="4"/>
  <c r="D25" i="4"/>
  <c r="D26" i="4"/>
  <c r="D27" i="4"/>
  <c r="D28" i="4"/>
  <c r="D29" i="4"/>
  <c r="D30" i="4"/>
  <c r="D31" i="4"/>
  <c r="A22" i="2"/>
  <c r="A23" i="2"/>
  <c r="A24" i="2"/>
  <c r="A25" i="2"/>
  <c r="A26" i="2"/>
  <c r="A27" i="2"/>
  <c r="A28" i="2"/>
  <c r="A29" i="2"/>
  <c r="L34" i="4"/>
  <c r="T34" i="4" s="1"/>
  <c r="L35" i="4"/>
  <c r="I35" i="4" s="1"/>
  <c r="L36" i="4"/>
  <c r="T36" i="4" s="1"/>
  <c r="L37" i="4"/>
  <c r="T37" i="4" s="1"/>
  <c r="L33" i="4"/>
  <c r="I33" i="4" s="1"/>
  <c r="L29" i="4"/>
  <c r="I29" i="4" s="1"/>
  <c r="L30" i="4"/>
  <c r="L31" i="4"/>
  <c r="I31" i="4" s="1"/>
  <c r="L32" i="4"/>
  <c r="T32" i="4" s="1"/>
  <c r="L28" i="4"/>
  <c r="I36" i="4" l="1"/>
  <c r="T31" i="4"/>
  <c r="I37" i="4"/>
  <c r="I32" i="4"/>
  <c r="T35" i="4"/>
  <c r="I34" i="4"/>
  <c r="T33" i="4"/>
  <c r="T28" i="4"/>
  <c r="I28" i="4"/>
  <c r="T29" i="4"/>
  <c r="I30" i="4"/>
  <c r="T30" i="4"/>
  <c r="D4" i="7"/>
  <c r="O4" i="7"/>
  <c r="C6" i="7"/>
  <c r="E7" i="7" a="1"/>
  <c r="E7" i="7" s="1"/>
  <c r="G7" i="7" a="1"/>
  <c r="G7" i="7" s="1"/>
  <c r="I7" i="7" a="1"/>
  <c r="I7" i="7" s="1"/>
  <c r="K7" i="7" a="1"/>
  <c r="K7" i="7" s="1"/>
  <c r="M7" i="7" a="1"/>
  <c r="M7" i="7" s="1"/>
  <c r="E8" i="7" a="1"/>
  <c r="E8" i="7" s="1"/>
  <c r="G8" i="7" a="1"/>
  <c r="G8" i="7" s="1"/>
  <c r="I8" i="7" a="1"/>
  <c r="I8" i="7" s="1"/>
  <c r="K8" i="7" a="1"/>
  <c r="K8" i="7" s="1"/>
  <c r="M8" i="7" a="1"/>
  <c r="M8" i="7" s="1"/>
  <c r="E9" i="7" a="1"/>
  <c r="E9" i="7" s="1"/>
  <c r="G9" i="7" a="1"/>
  <c r="G9" i="7" s="1"/>
  <c r="I9" i="7" a="1"/>
  <c r="I9" i="7" s="1"/>
  <c r="K9" i="7" a="1"/>
  <c r="K9" i="7" s="1"/>
  <c r="M9" i="7" a="1"/>
  <c r="M9" i="7" s="1"/>
  <c r="E10" i="7" a="1"/>
  <c r="E10" i="7" s="1"/>
  <c r="G10" i="7" a="1"/>
  <c r="G10" i="7" s="1"/>
  <c r="I10" i="7" a="1"/>
  <c r="I10" i="7" s="1"/>
  <c r="K10" i="7" a="1"/>
  <c r="K10" i="7" s="1"/>
  <c r="M10" i="7" a="1"/>
  <c r="M10" i="7" s="1"/>
  <c r="E11" i="7" a="1"/>
  <c r="E11" i="7" s="1"/>
  <c r="G11" i="7" a="1"/>
  <c r="G11" i="7" s="1"/>
  <c r="I11" i="7" a="1"/>
  <c r="I11" i="7" s="1"/>
  <c r="K11" i="7" a="1"/>
  <c r="K11" i="7" s="1"/>
  <c r="M11" i="7" a="1"/>
  <c r="M11" i="7" s="1"/>
  <c r="E12" i="7" a="1"/>
  <c r="E12" i="7" s="1"/>
  <c r="G12" i="7" a="1"/>
  <c r="G12" i="7" s="1"/>
  <c r="I12" i="7" a="1"/>
  <c r="I12" i="7" s="1"/>
  <c r="K12" i="7" a="1"/>
  <c r="K12" i="7" s="1"/>
  <c r="M12" i="7" a="1"/>
  <c r="M12" i="7" s="1"/>
  <c r="E13" i="7" a="1"/>
  <c r="E13" i="7" s="1"/>
  <c r="G13" i="7" a="1"/>
  <c r="G13" i="7" s="1"/>
  <c r="I13" i="7" a="1"/>
  <c r="I13" i="7" s="1"/>
  <c r="K13" i="7" a="1"/>
  <c r="K13" i="7" s="1"/>
  <c r="M13" i="7" a="1"/>
  <c r="M13" i="7" s="1"/>
  <c r="E14" i="7" a="1"/>
  <c r="E14" i="7" s="1"/>
  <c r="G14" i="7" a="1"/>
  <c r="G14" i="7" s="1"/>
  <c r="I14" i="7" a="1"/>
  <c r="I14" i="7" s="1"/>
  <c r="K14" i="7" a="1"/>
  <c r="K14" i="7" s="1"/>
  <c r="M14" i="7" a="1"/>
  <c r="M14" i="7" s="1"/>
  <c r="E15" i="7" a="1"/>
  <c r="E15" i="7" s="1"/>
  <c r="G15" i="7" a="1"/>
  <c r="G15" i="7" s="1"/>
  <c r="I15" i="7" a="1"/>
  <c r="I15" i="7" s="1"/>
  <c r="K15" i="7" a="1"/>
  <c r="K15" i="7" s="1"/>
  <c r="M15" i="7" a="1"/>
  <c r="M15" i="7" s="1"/>
  <c r="E16" i="7" a="1"/>
  <c r="E16" i="7" s="1"/>
  <c r="G16" i="7" a="1"/>
  <c r="G16" i="7" s="1"/>
  <c r="I16" i="7" a="1"/>
  <c r="I16" i="7" s="1"/>
  <c r="K16" i="7" a="1"/>
  <c r="K16" i="7" s="1"/>
  <c r="M16" i="7" a="1"/>
  <c r="M16" i="7" s="1"/>
  <c r="E17" i="7" a="1"/>
  <c r="E17" i="7" s="1"/>
  <c r="G17" i="7" a="1"/>
  <c r="G17" i="7" s="1"/>
  <c r="I17" i="7" a="1"/>
  <c r="I17" i="7" s="1"/>
  <c r="K17" i="7" a="1"/>
  <c r="K17" i="7" s="1"/>
  <c r="M17" i="7" a="1"/>
  <c r="M17" i="7" s="1"/>
  <c r="E18" i="7" a="1"/>
  <c r="E18" i="7" s="1"/>
  <c r="G18" i="7" a="1"/>
  <c r="G18" i="7" s="1"/>
  <c r="I18" i="7" a="1"/>
  <c r="I18" i="7" s="1"/>
  <c r="K18" i="7" a="1"/>
  <c r="K18" i="7" s="1"/>
  <c r="M18" i="7" a="1"/>
  <c r="M18" i="7" s="1"/>
  <c r="E19" i="7" a="1"/>
  <c r="E19" i="7" s="1"/>
  <c r="G19" i="7" a="1"/>
  <c r="G19" i="7" s="1"/>
  <c r="I19" i="7" a="1"/>
  <c r="I19" i="7" s="1"/>
  <c r="K19" i="7" a="1"/>
  <c r="K19" i="7" s="1"/>
  <c r="M19" i="7" a="1"/>
  <c r="M19" i="7" s="1"/>
  <c r="E20" i="7" a="1"/>
  <c r="E20" i="7" s="1"/>
  <c r="G20" i="7" a="1"/>
  <c r="G20" i="7" s="1"/>
  <c r="I20" i="7" a="1"/>
  <c r="I20" i="7" s="1"/>
  <c r="K20" i="7" a="1"/>
  <c r="K20" i="7" s="1"/>
  <c r="M20" i="7" a="1"/>
  <c r="M20" i="7" s="1"/>
  <c r="E21" i="7" a="1"/>
  <c r="E21" i="7" s="1"/>
  <c r="G21" i="7" a="1"/>
  <c r="G21" i="7" s="1"/>
  <c r="I21" i="7" a="1"/>
  <c r="I21" i="7" s="1"/>
  <c r="K21" i="7" a="1"/>
  <c r="K21" i="7" s="1"/>
  <c r="M21" i="7" a="1"/>
  <c r="M21" i="7" s="1"/>
  <c r="E22" i="7" a="1"/>
  <c r="E22" i="7" s="1"/>
  <c r="G22" i="7" a="1"/>
  <c r="G22" i="7" s="1"/>
  <c r="I22" i="7" a="1"/>
  <c r="I22" i="7" s="1"/>
  <c r="K22" i="7" a="1"/>
  <c r="K22" i="7" s="1"/>
  <c r="M22" i="7" a="1"/>
  <c r="M22" i="7" s="1"/>
  <c r="E23" i="7" a="1"/>
  <c r="E23" i="7" s="1"/>
  <c r="G23" i="7" a="1"/>
  <c r="G23" i="7" s="1"/>
  <c r="I23" i="7" a="1"/>
  <c r="I23" i="7" s="1"/>
  <c r="K23" i="7" a="1"/>
  <c r="K23" i="7" s="1"/>
  <c r="M23" i="7" a="1"/>
  <c r="M23" i="7" s="1"/>
  <c r="E24" i="7" a="1"/>
  <c r="E24" i="7" s="1"/>
  <c r="G24" i="7" a="1"/>
  <c r="G24" i="7" s="1"/>
  <c r="I24" i="7" a="1"/>
  <c r="I24" i="7" s="1"/>
  <c r="K24" i="7" a="1"/>
  <c r="K24" i="7" s="1"/>
  <c r="M24" i="7" a="1"/>
  <c r="M24" i="7" s="1"/>
  <c r="E25" i="7" a="1"/>
  <c r="E25" i="7" s="1"/>
  <c r="G25" i="7" a="1"/>
  <c r="G25" i="7" s="1"/>
  <c r="I25" i="7" a="1"/>
  <c r="I25" i="7" s="1"/>
  <c r="K25" i="7" a="1"/>
  <c r="K25" i="7" s="1"/>
  <c r="M25" i="7" a="1"/>
  <c r="M25" i="7" s="1"/>
  <c r="E26" i="7" a="1"/>
  <c r="E26" i="7" s="1"/>
  <c r="G26" i="7" a="1"/>
  <c r="G26" i="7" s="1"/>
  <c r="I26" i="7" a="1"/>
  <c r="I26" i="7" s="1"/>
  <c r="K26" i="7" a="1"/>
  <c r="K26" i="7" s="1"/>
  <c r="M26" i="7" a="1"/>
  <c r="M26" i="7" s="1"/>
  <c r="E27" i="7" a="1"/>
  <c r="E27" i="7" s="1"/>
  <c r="G27" i="7" a="1"/>
  <c r="G27" i="7" s="1"/>
  <c r="I27" i="7" a="1"/>
  <c r="I27" i="7" s="1"/>
  <c r="K27" i="7" a="1"/>
  <c r="K27" i="7" s="1"/>
  <c r="M27" i="7" a="1"/>
  <c r="M27" i="7" s="1"/>
  <c r="E28" i="7" a="1"/>
  <c r="E28" i="7" s="1"/>
  <c r="G28" i="7" a="1"/>
  <c r="G28" i="7" s="1"/>
  <c r="I28" i="7" a="1"/>
  <c r="I28" i="7" s="1"/>
  <c r="K28" i="7" a="1"/>
  <c r="K28" i="7" s="1"/>
  <c r="M28" i="7" a="1"/>
  <c r="M28" i="7" s="1"/>
  <c r="E29" i="7" a="1"/>
  <c r="E29" i="7" s="1"/>
  <c r="G29" i="7" a="1"/>
  <c r="G29" i="7" s="1"/>
  <c r="I29" i="7" a="1"/>
  <c r="I29" i="7" s="1"/>
  <c r="K29" i="7" a="1"/>
  <c r="K29" i="7" s="1"/>
  <c r="M29" i="7" a="1"/>
  <c r="M29" i="7" s="1"/>
  <c r="E30" i="7" a="1"/>
  <c r="E30" i="7" s="1"/>
  <c r="G30" i="7" a="1"/>
  <c r="G30" i="7" s="1"/>
  <c r="I30" i="7" a="1"/>
  <c r="I30" i="7" s="1"/>
  <c r="K30" i="7" a="1"/>
  <c r="K30" i="7" s="1"/>
  <c r="M30" i="7" a="1"/>
  <c r="M30" i="7" s="1"/>
  <c r="G6" i="7" a="1"/>
  <c r="G6" i="7" s="1"/>
  <c r="I6" i="7" a="1"/>
  <c r="I6" i="7" s="1"/>
  <c r="K6" i="7" a="1"/>
  <c r="K6" i="7" s="1"/>
  <c r="M6" i="7" a="1"/>
  <c r="M6" i="7" s="1"/>
  <c r="E6" i="7" a="1"/>
  <c r="E6" i="7" s="1"/>
  <c r="B18" i="2"/>
  <c r="D7" i="4"/>
  <c r="C5" i="2" l="1"/>
  <c r="S23" i="4"/>
  <c r="S22" i="4"/>
  <c r="S21" i="4"/>
  <c r="S20" i="4"/>
  <c r="S19" i="4"/>
  <c r="S13" i="4"/>
  <c r="S12" i="4"/>
  <c r="S11" i="4"/>
  <c r="S10" i="4"/>
  <c r="S9" i="4"/>
  <c r="A12" i="2" l="1"/>
  <c r="A13" i="2"/>
  <c r="A14" i="2"/>
  <c r="A15" i="2"/>
  <c r="A16" i="2"/>
  <c r="A17" i="2"/>
  <c r="A18" i="2"/>
  <c r="A19" i="2"/>
  <c r="A20" i="2"/>
  <c r="A21" i="2"/>
  <c r="A30" i="2"/>
  <c r="A31" i="2"/>
  <c r="A32" i="2"/>
  <c r="A33" i="2"/>
  <c r="A34" i="2"/>
  <c r="A35" i="2"/>
  <c r="B22" i="2"/>
  <c r="B23" i="2"/>
  <c r="B24" i="2"/>
  <c r="B25" i="2"/>
  <c r="B26" i="2"/>
  <c r="B27" i="2"/>
  <c r="B28" i="2"/>
  <c r="B29" i="2"/>
  <c r="B30" i="2"/>
  <c r="B31" i="2"/>
  <c r="B32" i="2"/>
  <c r="B33" i="2"/>
  <c r="B34" i="2"/>
  <c r="B35" i="2"/>
  <c r="B12" i="2"/>
  <c r="B13" i="2"/>
  <c r="B14" i="2"/>
  <c r="B15" i="2"/>
  <c r="B16" i="2"/>
  <c r="B17" i="2"/>
  <c r="B19" i="2"/>
  <c r="B20" i="2"/>
  <c r="B21" i="2"/>
  <c r="B11" i="2"/>
  <c r="N9" i="4"/>
  <c r="C10" i="2" s="1"/>
  <c r="N20" i="4"/>
  <c r="J4" i="2" s="1"/>
  <c r="N21" i="4"/>
  <c r="K4" i="2" s="1"/>
  <c r="N22" i="4"/>
  <c r="L4" i="2" s="1"/>
  <c r="N23" i="4"/>
  <c r="M4" i="2" s="1"/>
  <c r="N19" i="4"/>
  <c r="N10" i="4"/>
  <c r="D10" i="2" s="1"/>
  <c r="N11" i="4"/>
  <c r="E10" i="2" s="1"/>
  <c r="N12" i="4"/>
  <c r="N13" i="4"/>
  <c r="A11" i="2"/>
  <c r="F9" i="2" l="1"/>
  <c r="K5" i="7" s="1"/>
  <c r="J5" i="7" s="1"/>
  <c r="F4" i="2"/>
  <c r="F10" i="2"/>
  <c r="G9" i="2"/>
  <c r="M5" i="7" s="1"/>
  <c r="L5" i="7" s="1"/>
  <c r="G4" i="2"/>
  <c r="C9" i="2"/>
  <c r="E5" i="7" s="1"/>
  <c r="J9" i="2"/>
  <c r="R5" i="7" s="1"/>
  <c r="J10" i="2"/>
  <c r="I10" i="2"/>
  <c r="I4" i="2"/>
  <c r="C4" i="2"/>
  <c r="J9" i="4"/>
  <c r="K28" i="4" s="1"/>
  <c r="J10" i="4"/>
  <c r="K29" i="4" s="1"/>
  <c r="D4" i="2"/>
  <c r="J14" i="4"/>
  <c r="J15" i="4"/>
  <c r="J23" i="4"/>
  <c r="J12" i="4"/>
  <c r="J16" i="4"/>
  <c r="J17" i="4"/>
  <c r="J21" i="4"/>
  <c r="K35" i="4" s="1"/>
  <c r="J18" i="4"/>
  <c r="J19" i="4"/>
  <c r="K33" i="4" s="1"/>
  <c r="J22" i="4"/>
  <c r="J11" i="4"/>
  <c r="K30" i="4" s="1"/>
  <c r="J20" i="4"/>
  <c r="J13" i="4"/>
  <c r="E4" i="2"/>
  <c r="G10" i="2"/>
  <c r="C8" i="2" s="1"/>
  <c r="K10" i="2"/>
  <c r="D9" i="2"/>
  <c r="G5" i="7" s="1"/>
  <c r="I9" i="2"/>
  <c r="P5" i="7" s="1"/>
  <c r="L10" i="2"/>
  <c r="E9" i="2"/>
  <c r="I5" i="7" s="1"/>
  <c r="K9" i="2"/>
  <c r="T5" i="7" s="1"/>
  <c r="L9" i="2"/>
  <c r="V5" i="7" s="1"/>
  <c r="U5" i="7" s="1"/>
  <c r="M10" i="2"/>
  <c r="M9" i="2"/>
  <c r="X5" i="7" s="1"/>
  <c r="W5" i="7" s="1"/>
  <c r="H5" i="7" l="1"/>
  <c r="I8" i="2"/>
  <c r="K34" i="4"/>
  <c r="H34" i="4" s="1"/>
  <c r="F5" i="7"/>
  <c r="D5" i="7"/>
  <c r="H28" i="4"/>
  <c r="S28" i="4"/>
  <c r="H29" i="4"/>
  <c r="S29" i="4"/>
  <c r="H35" i="4"/>
  <c r="S5" i="7"/>
  <c r="S35" i="4"/>
  <c r="K37" i="4"/>
  <c r="K32" i="4"/>
  <c r="K36" i="4"/>
  <c r="K31" i="4"/>
  <c r="S30" i="4"/>
  <c r="H30" i="4"/>
  <c r="U11" i="2"/>
  <c r="S33" i="4"/>
  <c r="H33" i="4"/>
  <c r="O5" i="7"/>
  <c r="V11" i="2" l="1" a="1"/>
  <c r="V11" i="2" s="1"/>
  <c r="Q5" i="7"/>
  <c r="S34" i="4"/>
  <c r="R11" i="2"/>
  <c r="S11" i="2" s="1" a="1"/>
  <c r="S11" i="2" s="1"/>
  <c r="S32" i="4"/>
  <c r="H32" i="4"/>
  <c r="S37" i="4"/>
  <c r="H37" i="4"/>
  <c r="S31" i="4"/>
  <c r="H31" i="4"/>
  <c r="H36" i="4"/>
  <c r="S36" i="4"/>
  <c r="Q11" i="2" a="1"/>
  <c r="Q11" i="2" s="1"/>
  <c r="F56" i="5"/>
  <c r="F54" i="5"/>
  <c r="F52" i="5"/>
  <c r="F50" i="5"/>
  <c r="F48" i="5"/>
  <c r="F46" i="5"/>
  <c r="F44" i="5"/>
  <c r="F42" i="5"/>
  <c r="F40" i="5"/>
  <c r="F38" i="5"/>
  <c r="F36" i="5"/>
  <c r="F34" i="5"/>
  <c r="F32" i="5"/>
  <c r="F30" i="5"/>
  <c r="F28" i="5"/>
  <c r="F26" i="5"/>
  <c r="F24" i="5"/>
  <c r="F22" i="5"/>
  <c r="F20" i="5"/>
  <c r="F18" i="5"/>
  <c r="F16" i="5"/>
  <c r="F14" i="5"/>
  <c r="F12" i="5"/>
  <c r="F10" i="5"/>
  <c r="C41" i="7" l="1"/>
  <c r="C33" i="7"/>
  <c r="C35" i="7"/>
  <c r="C34" i="7"/>
  <c r="C42" i="7"/>
  <c r="C40" i="7"/>
  <c r="C38" i="7"/>
  <c r="C37" i="7"/>
  <c r="C39" i="7"/>
  <c r="C36" i="7"/>
  <c r="U12" i="2"/>
  <c r="V23" i="2" l="1" a="1"/>
  <c r="V23" i="2" s="1"/>
  <c r="V24" i="2" a="1"/>
  <c r="V24" i="2" s="1"/>
  <c r="V33" i="2" a="1"/>
  <c r="V33" i="2" s="1"/>
  <c r="V27" i="2" a="1"/>
  <c r="V27" i="2" s="1"/>
  <c r="V32" i="2" a="1"/>
  <c r="V32" i="2" s="1"/>
  <c r="V14" i="2" a="1"/>
  <c r="V14" i="2" s="1"/>
  <c r="V29" i="2" a="1"/>
  <c r="V29" i="2" s="1"/>
  <c r="V13" i="2" a="1"/>
  <c r="V13" i="2" s="1"/>
  <c r="V15" i="2" a="1"/>
  <c r="V15" i="2" s="1"/>
  <c r="V22" i="2" a="1"/>
  <c r="V22" i="2" s="1"/>
  <c r="V25" i="2" a="1"/>
  <c r="V25" i="2" s="1"/>
  <c r="V31" i="2" a="1"/>
  <c r="V31" i="2" s="1"/>
  <c r="V17" i="2" a="1"/>
  <c r="V17" i="2" s="1"/>
  <c r="V21" i="2" a="1"/>
  <c r="V21" i="2" s="1"/>
  <c r="V20" i="2" a="1"/>
  <c r="V20" i="2" s="1"/>
  <c r="V16" i="2" a="1"/>
  <c r="V16" i="2" s="1"/>
  <c r="V18" i="2" a="1"/>
  <c r="V18" i="2" s="1"/>
  <c r="V35" i="2" a="1"/>
  <c r="V35" i="2" s="1"/>
  <c r="V34" i="2" a="1"/>
  <c r="V34" i="2" s="1"/>
  <c r="V12" i="2" a="1"/>
  <c r="V12" i="2" s="1"/>
  <c r="V30" i="2" a="1"/>
  <c r="V30" i="2" s="1"/>
  <c r="V26" i="2" a="1"/>
  <c r="V26" i="2" s="1"/>
  <c r="V19" i="2" a="1"/>
  <c r="V19" i="2" s="1"/>
  <c r="V28" i="2" a="1"/>
  <c r="V28" i="2" s="1"/>
  <c r="Q28" i="2" a="1"/>
  <c r="Q28" i="2" s="1"/>
  <c r="R28" i="2"/>
  <c r="Q29" i="2" a="1"/>
  <c r="Q29" i="2" s="1"/>
  <c r="R29" i="2"/>
  <c r="Q20" i="2" a="1"/>
  <c r="Q20" i="2" s="1"/>
  <c r="R20" i="2"/>
  <c r="Q31" i="2" a="1"/>
  <c r="Q31" i="2" s="1"/>
  <c r="R31" i="2"/>
  <c r="Q21" i="2" a="1"/>
  <c r="Q21" i="2" s="1"/>
  <c r="R21" i="2"/>
  <c r="Q15" i="2" a="1"/>
  <c r="Q15" i="2" s="1"/>
  <c r="R15" i="2"/>
  <c r="Q24" i="2" a="1"/>
  <c r="Q24" i="2" s="1"/>
  <c r="R24" i="2"/>
  <c r="Q32" i="2" a="1"/>
  <c r="Q32" i="2" s="1"/>
  <c r="R32" i="2"/>
  <c r="Q12" i="2" a="1"/>
  <c r="Q12" i="2" s="1"/>
  <c r="R12" i="2"/>
  <c r="Q14" i="2" a="1"/>
  <c r="Q14" i="2" s="1"/>
  <c r="R14" i="2"/>
  <c r="Q23" i="2" a="1"/>
  <c r="Q23" i="2" s="1"/>
  <c r="R23" i="2"/>
  <c r="Q16" i="2" a="1"/>
  <c r="Q16" i="2" s="1"/>
  <c r="R16" i="2"/>
  <c r="Q17" i="2" a="1"/>
  <c r="Q17" i="2" s="1"/>
  <c r="R17" i="2"/>
  <c r="Q25" i="2" a="1"/>
  <c r="Q25" i="2" s="1"/>
  <c r="R25" i="2"/>
  <c r="Q33" i="2" a="1"/>
  <c r="Q33" i="2" s="1"/>
  <c r="R33" i="2"/>
  <c r="Q13" i="2" a="1"/>
  <c r="Q13" i="2" s="1"/>
  <c r="R13" i="2"/>
  <c r="Q22" i="2" a="1"/>
  <c r="Q22" i="2" s="1"/>
  <c r="R22" i="2"/>
  <c r="Q18" i="2" a="1"/>
  <c r="Q18" i="2" s="1"/>
  <c r="R18" i="2"/>
  <c r="Q26" i="2" a="1"/>
  <c r="Q26" i="2" s="1"/>
  <c r="R26" i="2"/>
  <c r="Q34" i="2" a="1"/>
  <c r="Q34" i="2" s="1"/>
  <c r="R34" i="2"/>
  <c r="Q30" i="2" a="1"/>
  <c r="Q30" i="2" s="1"/>
  <c r="R30" i="2"/>
  <c r="Q19" i="2" a="1"/>
  <c r="Q19" i="2" s="1"/>
  <c r="R19" i="2"/>
  <c r="Q27" i="2" a="1"/>
  <c r="Q27" i="2" s="1"/>
  <c r="R27" i="2"/>
  <c r="Q35" i="2" a="1"/>
  <c r="Q35" i="2" s="1"/>
  <c r="R35" i="2"/>
  <c r="M4" i="15" l="1"/>
  <c r="M6" i="15"/>
  <c r="M26" i="15"/>
  <c r="M25" i="15"/>
  <c r="M24" i="15"/>
  <c r="M17" i="15"/>
  <c r="M14" i="15"/>
  <c r="M8" i="15"/>
  <c r="M10" i="15"/>
  <c r="M11" i="15"/>
  <c r="M22" i="15"/>
  <c r="M16" i="15"/>
  <c r="M13" i="15"/>
  <c r="M20" i="15"/>
  <c r="M23" i="15"/>
  <c r="M21" i="15"/>
  <c r="M18" i="15"/>
  <c r="M19" i="15"/>
  <c r="M9" i="15"/>
  <c r="M28" i="15"/>
  <c r="M7" i="15"/>
  <c r="M5" i="15"/>
  <c r="M27" i="15"/>
  <c r="M15" i="15"/>
  <c r="M12" i="15"/>
  <c r="S14" i="2" a="1"/>
  <c r="S14" i="2" s="1"/>
  <c r="S34" i="2" a="1"/>
  <c r="S34" i="2" s="1"/>
  <c r="S29" i="2" a="1"/>
  <c r="S29" i="2" s="1"/>
  <c r="S28" i="2" a="1"/>
  <c r="S28" i="2" s="1"/>
  <c r="S12" i="2" a="1"/>
  <c r="S12" i="2" s="1"/>
  <c r="S23" i="2" a="1"/>
  <c r="S23" i="2" s="1"/>
  <c r="S15" i="2" a="1"/>
  <c r="S15" i="2" s="1"/>
  <c r="S21" i="2" a="1"/>
  <c r="S21" i="2" s="1"/>
  <c r="S19" i="2" a="1"/>
  <c r="S19" i="2" s="1"/>
  <c r="S13" i="2" a="1"/>
  <c r="S13" i="2" s="1"/>
  <c r="S17" i="2" a="1"/>
  <c r="S17" i="2" s="1"/>
  <c r="S33" i="2" a="1"/>
  <c r="S33" i="2" s="1"/>
  <c r="S30" i="2" a="1"/>
  <c r="S30" i="2" s="1"/>
  <c r="S24" i="2" a="1"/>
  <c r="S24" i="2" s="1"/>
  <c r="S26" i="2" a="1"/>
  <c r="S26" i="2" s="1"/>
  <c r="S20" i="2" a="1"/>
  <c r="S20" i="2" s="1"/>
  <c r="S35" i="2" a="1"/>
  <c r="S35" i="2" s="1"/>
  <c r="S31" i="2" a="1"/>
  <c r="S31" i="2" s="1"/>
  <c r="S18" i="2" a="1"/>
  <c r="S18" i="2" s="1"/>
  <c r="S16" i="2" a="1"/>
  <c r="S16" i="2" s="1"/>
  <c r="S22" i="2" a="1"/>
  <c r="S22" i="2" s="1"/>
  <c r="S32" i="2" a="1"/>
  <c r="S32" i="2" s="1"/>
  <c r="S25" i="2" a="1"/>
  <c r="S25" i="2" s="1"/>
  <c r="S27" i="2" a="1"/>
  <c r="S27" i="2" s="1"/>
  <c r="C15" i="15" l="1"/>
  <c r="E15" i="15" s="1"/>
  <c r="G15" i="15" s="1"/>
  <c r="D15" i="15"/>
  <c r="F15" i="15" s="1"/>
  <c r="C21" i="15"/>
  <c r="E21" i="15" s="1"/>
  <c r="G21" i="15" s="1"/>
  <c r="D21" i="15"/>
  <c r="H21" i="15" s="1"/>
  <c r="C8" i="15"/>
  <c r="E8" i="15" s="1"/>
  <c r="G8" i="15" s="1"/>
  <c r="D8" i="15"/>
  <c r="F8" i="15" s="1"/>
  <c r="C27" i="15"/>
  <c r="E27" i="15" s="1"/>
  <c r="G27" i="15" s="1"/>
  <c r="D27" i="15"/>
  <c r="F27" i="15" s="1"/>
  <c r="D23" i="15"/>
  <c r="F23" i="15" s="1"/>
  <c r="C23" i="15"/>
  <c r="E23" i="15" s="1"/>
  <c r="G23" i="15" s="1"/>
  <c r="C14" i="15"/>
  <c r="E14" i="15" s="1"/>
  <c r="G14" i="15" s="1"/>
  <c r="D14" i="15"/>
  <c r="H14" i="15" s="1"/>
  <c r="C5" i="15"/>
  <c r="E5" i="15" s="1"/>
  <c r="G5" i="15" s="1"/>
  <c r="D5" i="15"/>
  <c r="F5" i="15" s="1"/>
  <c r="C20" i="15"/>
  <c r="E20" i="15" s="1"/>
  <c r="G20" i="15" s="1"/>
  <c r="D20" i="15"/>
  <c r="F20" i="15" s="1"/>
  <c r="C17" i="15"/>
  <c r="E17" i="15" s="1"/>
  <c r="G17" i="15" s="1"/>
  <c r="D17" i="15"/>
  <c r="F17" i="15" s="1"/>
  <c r="D7" i="15"/>
  <c r="F7" i="15" s="1"/>
  <c r="C7" i="15"/>
  <c r="E7" i="15" s="1"/>
  <c r="G7" i="15" s="1"/>
  <c r="C13" i="15"/>
  <c r="E13" i="15" s="1"/>
  <c r="G13" i="15" s="1"/>
  <c r="D13" i="15"/>
  <c r="F13" i="15" s="1"/>
  <c r="C24" i="15"/>
  <c r="E24" i="15" s="1"/>
  <c r="G24" i="15" s="1"/>
  <c r="D24" i="15"/>
  <c r="H24" i="15" s="1"/>
  <c r="D28" i="15"/>
  <c r="H28" i="15" s="1"/>
  <c r="C28" i="15"/>
  <c r="E28" i="15" s="1"/>
  <c r="G28" i="15" s="1"/>
  <c r="D16" i="15"/>
  <c r="F16" i="15" s="1"/>
  <c r="C16" i="15"/>
  <c r="E16" i="15" s="1"/>
  <c r="G16" i="15" s="1"/>
  <c r="C25" i="15"/>
  <c r="E25" i="15" s="1"/>
  <c r="G25" i="15" s="1"/>
  <c r="D25" i="15"/>
  <c r="H25" i="15" s="1"/>
  <c r="C9" i="15"/>
  <c r="E9" i="15" s="1"/>
  <c r="G9" i="15" s="1"/>
  <c r="D9" i="15"/>
  <c r="F9" i="15" s="1"/>
  <c r="C22" i="15"/>
  <c r="E22" i="15" s="1"/>
  <c r="G22" i="15" s="1"/>
  <c r="D22" i="15"/>
  <c r="F22" i="15" s="1"/>
  <c r="C26" i="15"/>
  <c r="E26" i="15" s="1"/>
  <c r="G26" i="15" s="1"/>
  <c r="D26" i="15"/>
  <c r="F26" i="15" s="1"/>
  <c r="D19" i="15"/>
  <c r="F19" i="15" s="1"/>
  <c r="C19" i="15"/>
  <c r="E19" i="15" s="1"/>
  <c r="G19" i="15" s="1"/>
  <c r="C11" i="15"/>
  <c r="E11" i="15" s="1"/>
  <c r="G11" i="15" s="1"/>
  <c r="D11" i="15"/>
  <c r="F11" i="15" s="1"/>
  <c r="C6" i="15"/>
  <c r="E6" i="15" s="1"/>
  <c r="G6" i="15" s="1"/>
  <c r="D6" i="15"/>
  <c r="H6" i="15" s="1"/>
  <c r="C12" i="15"/>
  <c r="E12" i="15" s="1"/>
  <c r="G12" i="15" s="1"/>
  <c r="D12" i="15"/>
  <c r="F12" i="15" s="1"/>
  <c r="C18" i="15"/>
  <c r="E18" i="15" s="1"/>
  <c r="G18" i="15" s="1"/>
  <c r="D18" i="15"/>
  <c r="F18" i="15" s="1"/>
  <c r="C10" i="15"/>
  <c r="E10" i="15" s="1"/>
  <c r="G10" i="15" s="1"/>
  <c r="D10" i="15"/>
  <c r="F10" i="15" s="1"/>
  <c r="C4" i="15"/>
  <c r="E4" i="15" s="1"/>
  <c r="G4" i="15" s="1"/>
  <c r="D4" i="15"/>
  <c r="F4" i="15" s="1"/>
  <c r="B6" i="15"/>
  <c r="W40" i="15" s="1"/>
  <c r="X40" i="15" s="1"/>
  <c r="B27" i="15"/>
  <c r="AM41" i="15" s="1"/>
  <c r="AN41" i="15" s="1"/>
  <c r="B16" i="15"/>
  <c r="AE40" i="15" s="1"/>
  <c r="AF40" i="15" s="1"/>
  <c r="B22" i="15"/>
  <c r="AI41" i="15" s="1"/>
  <c r="AJ41" i="15" s="1"/>
  <c r="B10" i="15"/>
  <c r="AA39" i="15" s="1"/>
  <c r="AB39" i="15" s="1"/>
  <c r="B12" i="15"/>
  <c r="AA41" i="15" s="1"/>
  <c r="AB41" i="15" s="1"/>
  <c r="B8" i="15"/>
  <c r="W42" i="15" s="1"/>
  <c r="X42" i="15" s="1"/>
  <c r="B15" i="15"/>
  <c r="AE39" i="15" s="1"/>
  <c r="AF39" i="15" s="1"/>
  <c r="B24" i="15"/>
  <c r="AM38" i="15" s="1"/>
  <c r="AN38" i="15" s="1"/>
  <c r="B28" i="15"/>
  <c r="AM42" i="15" s="1"/>
  <c r="AN42" i="15" s="1"/>
  <c r="B19" i="15"/>
  <c r="AI38" i="15" s="1"/>
  <c r="AJ38" i="15" s="1"/>
  <c r="B18" i="15"/>
  <c r="AE42" i="15" s="1"/>
  <c r="AF42" i="15" s="1"/>
  <c r="B7" i="15"/>
  <c r="W41" i="15" s="1"/>
  <c r="X41" i="15" s="1"/>
  <c r="B9" i="15"/>
  <c r="AA38" i="15" s="1"/>
  <c r="AB38" i="15" s="1"/>
  <c r="B25" i="15"/>
  <c r="AM39" i="15" s="1"/>
  <c r="AN39" i="15" s="1"/>
  <c r="B21" i="15"/>
  <c r="AI40" i="15" s="1"/>
  <c r="AJ40" i="15" s="1"/>
  <c r="B23" i="15"/>
  <c r="AI42" i="15" s="1"/>
  <c r="AJ42" i="15" s="1"/>
  <c r="B13" i="15"/>
  <c r="AA42" i="15" s="1"/>
  <c r="AB42" i="15" s="1"/>
  <c r="B11" i="15"/>
  <c r="AA40" i="15" s="1"/>
  <c r="AB40" i="15" s="1"/>
  <c r="B20" i="15"/>
  <c r="AI39" i="15" s="1"/>
  <c r="AJ39" i="15" s="1"/>
  <c r="B14" i="15"/>
  <c r="AE38" i="15" s="1"/>
  <c r="AF38" i="15" s="1"/>
  <c r="B26" i="15"/>
  <c r="AM40" i="15" s="1"/>
  <c r="AN40" i="15" s="1"/>
  <c r="B17" i="15"/>
  <c r="AE41" i="15" s="1"/>
  <c r="AF41" i="15" s="1"/>
  <c r="B5" i="15"/>
  <c r="W39" i="15" s="1"/>
  <c r="X39" i="15" s="1"/>
  <c r="B4" i="15"/>
  <c r="W38" i="15" s="1"/>
  <c r="X38" i="15" s="1"/>
  <c r="I4" i="15" l="1"/>
  <c r="H8" i="15"/>
  <c r="H17" i="15"/>
  <c r="H15" i="15"/>
  <c r="H11" i="15"/>
  <c r="F25" i="15"/>
  <c r="I25" i="15" s="1"/>
  <c r="H18" i="15"/>
  <c r="H22" i="15"/>
  <c r="H7" i="15"/>
  <c r="H20" i="15"/>
  <c r="F21" i="15"/>
  <c r="I21" i="15" s="1"/>
  <c r="H9" i="15"/>
  <c r="H13" i="15"/>
  <c r="H27" i="15"/>
  <c r="H12" i="15"/>
  <c r="H19" i="15"/>
  <c r="H23" i="15"/>
  <c r="H26" i="15"/>
  <c r="F28" i="15"/>
  <c r="I28" i="15" s="1"/>
  <c r="F24" i="15"/>
  <c r="J24" i="15" s="1"/>
  <c r="H10" i="15"/>
  <c r="F14" i="15"/>
  <c r="I14" i="15" s="1"/>
  <c r="H5" i="15"/>
  <c r="J9" i="15"/>
  <c r="I5" i="15"/>
  <c r="J5" i="15"/>
  <c r="I9" i="15"/>
  <c r="J16" i="15"/>
  <c r="J22" i="15"/>
  <c r="J19" i="15"/>
  <c r="H16" i="15"/>
  <c r="I23" i="15"/>
  <c r="J23" i="15"/>
  <c r="I19" i="15"/>
  <c r="I18" i="15"/>
  <c r="J8" i="15"/>
  <c r="J17" i="15"/>
  <c r="I17" i="15"/>
  <c r="J4" i="15"/>
  <c r="I22" i="15"/>
  <c r="I16" i="15"/>
  <c r="J12" i="15"/>
  <c r="I12" i="15"/>
  <c r="J20" i="15"/>
  <c r="J18" i="15"/>
  <c r="I26" i="15"/>
  <c r="J26" i="15"/>
  <c r="I20" i="15"/>
  <c r="I8" i="15"/>
  <c r="H4" i="15"/>
  <c r="J27" i="15"/>
  <c r="I27" i="15"/>
  <c r="J7" i="15"/>
  <c r="J13" i="15"/>
  <c r="I15" i="15"/>
  <c r="I7" i="15"/>
  <c r="J11" i="15"/>
  <c r="I13" i="15"/>
  <c r="I11" i="15"/>
  <c r="F6" i="15"/>
  <c r="I6" i="15" s="1"/>
  <c r="J10" i="15"/>
  <c r="J15" i="15"/>
  <c r="I10" i="15"/>
  <c r="J21" i="15" l="1"/>
  <c r="I24" i="15"/>
  <c r="J25" i="15"/>
  <c r="J14" i="15"/>
  <c r="J28" i="15"/>
  <c r="J6"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<sst xmlns="http://schemas.openxmlformats.org/spreadsheetml/2006/main" count="184" uniqueCount="113">
  <si>
    <t>Low Contribution</t>
  </si>
  <si>
    <t>Medium Contribution</t>
  </si>
  <si>
    <t>High Contribution</t>
  </si>
  <si>
    <t>Outstanding Contribuion</t>
  </si>
  <si>
    <t>Business Value</t>
  </si>
  <si>
    <t>Feasibility</t>
  </si>
  <si>
    <t>Rankings</t>
  </si>
  <si>
    <t>Weights</t>
  </si>
  <si>
    <t>UC17</t>
  </si>
  <si>
    <t>UC18</t>
  </si>
  <si>
    <t>UC19</t>
  </si>
  <si>
    <t>UC20</t>
  </si>
  <si>
    <t>UC21</t>
  </si>
  <si>
    <t>UC22</t>
  </si>
  <si>
    <t>UC23</t>
  </si>
  <si>
    <t>UC24</t>
  </si>
  <si>
    <t>UC25</t>
  </si>
  <si>
    <t>Feas</t>
  </si>
  <si>
    <t>Busin</t>
  </si>
  <si>
    <t>UP F</t>
  </si>
  <si>
    <t>UP B</t>
  </si>
  <si>
    <t>Down F</t>
  </si>
  <si>
    <t>Down B</t>
  </si>
  <si>
    <t>Translated X</t>
  </si>
  <si>
    <t>Translated Y</t>
  </si>
  <si>
    <t>THIS SHEET WILL STAY HIDDEN - HERE'S WHERE THE MAGIC HAPPENS</t>
  </si>
  <si>
    <t>Challenging</t>
  </si>
  <si>
    <t>Complicated</t>
  </si>
  <si>
    <t>Doable</t>
  </si>
  <si>
    <t>Easy</t>
  </si>
  <si>
    <t>Title</t>
  </si>
  <si>
    <t>Use Case Name</t>
  </si>
  <si>
    <t>Use Case Description</t>
  </si>
  <si>
    <t>UC7</t>
  </si>
  <si>
    <t>UC8</t>
  </si>
  <si>
    <t>UC9</t>
  </si>
  <si>
    <t>UC10</t>
  </si>
  <si>
    <t>UC11</t>
  </si>
  <si>
    <t>UC12</t>
  </si>
  <si>
    <t>UC13</t>
  </si>
  <si>
    <t>UC14</t>
  </si>
  <si>
    <t>UC15</t>
  </si>
  <si>
    <t>UC16</t>
  </si>
  <si>
    <t>Pipeline</t>
  </si>
  <si>
    <t>Description</t>
  </si>
  <si>
    <t>Pipeline Item #1</t>
  </si>
  <si>
    <t>Pipeline Item #2</t>
  </si>
  <si>
    <t>Pipeline Item #3</t>
  </si>
  <si>
    <t>Pipeline Item #4</t>
  </si>
  <si>
    <t>UC2</t>
  </si>
  <si>
    <t>UC3</t>
  </si>
  <si>
    <t>UC4</t>
  </si>
  <si>
    <t>UC5</t>
  </si>
  <si>
    <t>UC6</t>
  </si>
  <si>
    <t>UC1</t>
  </si>
  <si>
    <t>Dimension</t>
  </si>
  <si>
    <t>D1</t>
  </si>
  <si>
    <t>D2</t>
  </si>
  <si>
    <t>D3</t>
  </si>
  <si>
    <t>D4</t>
  </si>
  <si>
    <t>D5</t>
  </si>
  <si>
    <t>Sort</t>
  </si>
  <si>
    <t>Technology</t>
  </si>
  <si>
    <t>Industry</t>
  </si>
  <si>
    <t>No
 Contribution</t>
  </si>
  <si>
    <t>Impossible</t>
  </si>
  <si>
    <t>Dimension Description</t>
  </si>
  <si>
    <r>
      <t xml:space="preserve">Infographic: AI Use Case Prism for </t>
    </r>
    <r>
      <rPr>
        <b/>
        <sz val="10"/>
        <color rgb="FF46BDC6"/>
        <rFont val="Calibri "/>
      </rPr>
      <t>XYZ</t>
    </r>
  </si>
  <si>
    <r>
      <t xml:space="preserve">This infographic identifies </t>
    </r>
    <r>
      <rPr>
        <b/>
        <sz val="10"/>
        <color rgb="FF46BDC6"/>
        <rFont val="Calibri "/>
      </rPr>
      <t>NN</t>
    </r>
    <r>
      <rPr>
        <sz val="10"/>
        <color theme="1"/>
        <rFont val="Calibri "/>
      </rPr>
      <t xml:space="preserve"> of the most prominent AI use cases that can improve </t>
    </r>
    <r>
      <rPr>
        <b/>
        <sz val="10"/>
        <color rgb="FF46BDC6"/>
        <rFont val="Calibri "/>
      </rPr>
      <t>XYZ</t>
    </r>
    <r>
      <rPr>
        <sz val="10"/>
        <color theme="1"/>
        <rFont val="Calibri "/>
      </rPr>
      <t xml:space="preserve">. Data and analytics leaders in </t>
    </r>
    <r>
      <rPr>
        <b/>
        <sz val="10"/>
        <color rgb="FF46BDC6"/>
        <rFont val="Calibri "/>
      </rPr>
      <t>XYZ</t>
    </r>
    <r>
      <rPr>
        <sz val="10"/>
        <color theme="1"/>
        <rFont val="Calibri "/>
      </rPr>
      <t xml:space="preserve"> can use this as a starting point for further fine-tuning.</t>
    </r>
  </si>
  <si>
    <t>#</t>
  </si>
  <si>
    <t>Weight</t>
  </si>
  <si>
    <t>Lorem ipso factum</t>
  </si>
  <si>
    <t>Lorem Ipsum</t>
  </si>
  <si>
    <t>Version Name</t>
  </si>
  <si>
    <t xml:space="preserve">Date </t>
  </si>
  <si>
    <t>Changes Made</t>
  </si>
  <si>
    <t>v5</t>
  </si>
  <si>
    <t>14th September, 2020</t>
  </si>
  <si>
    <t>- Factor Description
- Fix the labels
- Fix plotting (not showing numbers etc)
- Added page breaks for download for peer review
- Other visual tweaks</t>
  </si>
  <si>
    <t>Sum of either the business value factors or feasibility value factors is not equal to 100% - Please go back to Step 1.</t>
  </si>
  <si>
    <t>v5.1</t>
  </si>
  <si>
    <t>NA</t>
  </si>
  <si>
    <t>Short Description</t>
  </si>
  <si>
    <t>Step 1 - Fill in Details</t>
  </si>
  <si>
    <t>Step 2 - Scoring</t>
  </si>
  <si>
    <t>Step 3 - Create Pipeline</t>
  </si>
  <si>
    <t>(VIEW) Symbol Sheet</t>
  </si>
  <si>
    <t>(VIEW) Prism</t>
  </si>
  <si>
    <t>Table of Contents</t>
  </si>
  <si>
    <t>Example Use Case 1</t>
  </si>
  <si>
    <t>Example Use Case 2</t>
  </si>
  <si>
    <t>Cost Reduction</t>
  </si>
  <si>
    <t>Revenue Optimization</t>
  </si>
  <si>
    <t>CX Improvement</t>
  </si>
  <si>
    <t>Technical</t>
  </si>
  <si>
    <t>Internal</t>
  </si>
  <si>
    <t>External</t>
  </si>
  <si>
    <t>Values must sum to 100%</t>
  </si>
  <si>
    <t>Pipeline Item #5</t>
  </si>
  <si>
    <t>Pipeline Item #6</t>
  </si>
  <si>
    <r>
      <rPr>
        <b/>
        <sz val="10"/>
        <color rgb="FF073763"/>
        <rFont val="Calibri"/>
        <family val="2"/>
        <scheme val="minor"/>
      </rPr>
      <t>INPUT</t>
    </r>
    <r>
      <rPr>
        <sz val="10"/>
        <color theme="1"/>
        <rFont val="Calibri"/>
        <family val="2"/>
        <scheme val="minor"/>
      </rPr>
      <t xml:space="preserve">: This sheet is used to input / update the scores for each use case in-scope. </t>
    </r>
  </si>
  <si>
    <r>
      <rPr>
        <b/>
        <sz val="10"/>
        <color rgb="FF073763"/>
        <rFont val="Calibri"/>
        <family val="2"/>
        <scheme val="minor"/>
      </rPr>
      <t>INPUT</t>
    </r>
    <r>
      <rPr>
        <sz val="10"/>
        <color theme="1"/>
        <rFont val="Calibri"/>
        <family val="2"/>
        <scheme val="minor"/>
      </rPr>
      <t>: This sheet allows users to map use cases against a relevant pipeline or workflow if required.</t>
    </r>
  </si>
  <si>
    <r>
      <rPr>
        <b/>
        <sz val="10"/>
        <color rgb="FF073763"/>
        <rFont val="Calibri"/>
        <family val="2"/>
        <scheme val="minor"/>
      </rPr>
      <t>READ-ONLY</t>
    </r>
    <r>
      <rPr>
        <sz val="10"/>
        <color theme="1"/>
        <rFont val="Calibri"/>
        <family val="2"/>
        <scheme val="minor"/>
      </rPr>
      <t>: This sheet should be filled in with the use cases in-scope, the dimensions that will aggregate up position based on business value and feasibility, and the project title and domain if required.</t>
    </r>
  </si>
  <si>
    <t>A directory of all resources related to Prisms, including a library of published Prisms and additional supporting material for project managers, sponsors and contributors.</t>
  </si>
  <si>
    <t>Toolkit Slides: Build Your Own Prism</t>
  </si>
  <si>
    <t>Business 
Value</t>
  </si>
  <si>
    <t>Feasibility 
Value</t>
  </si>
  <si>
    <t xml:space="preserve">Additional information and resources </t>
  </si>
  <si>
    <t>Example pipeline item</t>
  </si>
  <si>
    <t>Unless otherwise marked for external use, the items in this Gartner Tool are for internal noncommercial use by the licensed Gartner client. The materials contained in this Tool may not be repackaged or resold. Gartner makes no representations or warranties as to the suitability of this Tool for any particular purpose, and disclaims all liabilities for any damages, whether direct, consequential, incidental or special, arising out of the use of or inability to use this material or the information provided herein.</t>
  </si>
  <si>
    <r>
      <rPr>
        <b/>
        <sz val="10"/>
        <color rgb="FF073763"/>
        <rFont val="Calibri"/>
        <family val="2"/>
        <scheme val="minor"/>
      </rPr>
      <t>INPUT</t>
    </r>
    <r>
      <rPr>
        <sz val="10"/>
        <color rgb="FF073763"/>
        <rFont val="Calibri"/>
        <family val="2"/>
        <scheme val="minor"/>
      </rPr>
      <t>:</t>
    </r>
    <r>
      <rPr>
        <sz val="10"/>
        <color theme="1"/>
        <rFont val="Calibri"/>
        <family val="2"/>
        <scheme val="minor"/>
      </rPr>
      <t xml:space="preserve"> This sheet should be filled in with the use cases in-scope, the dimensions that will aggregate up position based on business value and feasibility (weightings can also be adjusted on this sheet), and the project title and domain if required.</t>
    </r>
  </si>
  <si>
    <t xml:space="preserve">The instructions, intent and objective of this template are contained in the source document. Please refer to that document for details. </t>
  </si>
  <si>
    <t>Overview of Gartner
Prisms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</si>
</sst>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0">
    <font>
      <sz val="11"/>
      <color theme="1"/>
      <name val="Calibri"/>
      <family val="2"/>
      <scheme val="minor"/>
    </font>
    <font>
      <sz val="11"/>
      <color theme="1"/>
      <name val="Calibri"/>
      <family val="2"/>
      <scheme val="minor"/>
    </font>
    <font>
      <sz val="11"/>
      <color theme="0"/>
      <name val="Calibri"/>
      <family val="2"/>
      <scheme val="minor"/>
    </font>
    <font>
      <sz val="10"/>
      <color rgb="FF000000"/>
      <name val="Arial"/>
      <family val="2"/>
    </font>
    <font>
      <sz val="10"/>
      <color theme="1"/>
      <name val="Arial"/>
      <family val="2"/>
    </font>
    <font>
      <sz val="16"/>
      <color rgb="FFFF0000"/>
      <name val="Calibri"/>
      <family val="2"/>
      <scheme val="minor"/>
    </font>
    <font>
      <i/>
      <sz val="11"/>
      <color theme="1"/>
      <name val="Calibri"/>
      <family val="2"/>
      <scheme val="minor"/>
    </font>
    <font>
      <b/>
      <sz val="11"/>
      <color theme="4" tint="-0.249977111117893"/>
      <name val="Calibri"/>
      <family val="2"/>
      <scheme val="minor"/>
    </font>
    <font>
      <sz val="8"/>
      <name val="Calibri"/>
      <family val="2"/>
      <scheme val="minor"/>
    </font>
    <font>
      <sz val="14"/>
      <color rgb="FF003366"/>
      <name val="Arial"/>
      <family val="2"/>
    </font>
    <font>
      <b/>
      <sz val="10"/>
      <color rgb="FF000000"/>
      <name val="Calibri"/>
      <family val="2"/>
      <scheme val="minor"/>
    </font>
    <font>
      <sz val="10"/>
      <color theme="1"/>
      <name val="Calibri"/>
      <family val="2"/>
      <scheme val="minor"/>
    </font>
    <font>
      <u/>
      <sz val="10"/>
      <color rgb="FF0000FF"/>
      <name val="Calibri"/>
      <family val="2"/>
      <scheme val="minor"/>
    </font>
    <font>
      <sz val="10"/>
      <color rgb="FF000000"/>
      <name val="Calibri"/>
      <family val="2"/>
      <scheme val="minor"/>
    </font>
    <font>
      <sz val="10"/>
      <color theme="0"/>
      <name val="Calibri"/>
      <family val="2"/>
      <scheme val="minor"/>
    </font>
    <font>
      <b/>
      <sz val="14"/>
      <color theme="0"/>
      <name val="Calibri"/>
      <family val="2"/>
      <scheme val="minor"/>
    </font>
    <font>
      <b/>
      <sz val="10"/>
      <color theme="0"/>
      <name val="Calibri"/>
      <family val="2"/>
      <scheme val="minor"/>
    </font>
    <font>
      <b/>
      <sz val="12"/>
      <color theme="0"/>
      <name val="Calibri"/>
      <family val="2"/>
      <scheme val="minor"/>
    </font>
    <font>
      <sz val="10"/>
      <color rgb="FF3B561E"/>
      <name val="Calibri"/>
      <family val="2"/>
      <scheme val="minor"/>
    </font>
    <font>
      <sz val="10"/>
      <color rgb="FF304040"/>
      <name val="Calibri"/>
      <family val="2"/>
      <scheme val="minor"/>
    </font>
    <font>
      <sz val="10"/>
      <color rgb="FFFF0000"/>
      <name val="Calibri"/>
      <family val="2"/>
      <scheme val="minor"/>
    </font>
    <font>
      <b/>
      <sz val="11"/>
      <color theme="1"/>
      <name val="Calibri"/>
      <family val="2"/>
      <scheme val="minor"/>
    </font>
    <font>
      <sz val="10"/>
      <color theme="4" tint="0.59999389629810485"/>
      <name val="Calibri"/>
      <family val="2"/>
      <scheme val="minor"/>
    </font>
    <font>
      <sz val="11"/>
      <color theme="4" tint="0.59999389629810485"/>
      <name val="Calibri"/>
      <family val="2"/>
      <scheme val="minor"/>
    </font>
    <font>
      <i/>
      <sz val="10"/>
      <color theme="0"/>
      <name val="Calibri"/>
      <family val="2"/>
      <scheme val="minor"/>
    </font>
    <font>
      <sz val="11"/>
      <color theme="1"/>
      <name val="Calibri"/>
      <family val="2"/>
    </font>
    <font>
      <sz val="10"/>
      <color theme="1"/>
      <name val="Calibri "/>
    </font>
    <font>
      <sz val="11"/>
      <color theme="1"/>
      <name val="Calibri "/>
    </font>
    <font>
      <b/>
      <sz val="10"/>
      <color rgb="FFFFFFFF"/>
      <name val="Calibri "/>
    </font>
    <font>
      <b/>
      <sz val="10"/>
      <color rgb="FF46BDC6"/>
      <name val="Calibri "/>
    </font>
    <font>
      <b/>
      <sz val="10"/>
      <color theme="1"/>
      <name val="Calibri "/>
    </font>
    <font>
      <sz val="8"/>
      <color rgb="FF003366"/>
      <name val="Calibri "/>
    </font>
    <font>
      <b/>
      <sz val="9"/>
      <color theme="1"/>
      <name val="Calibri "/>
    </font>
    <font>
      <sz val="10"/>
      <color theme="0"/>
      <name val="Calibri "/>
    </font>
    <font>
      <vertAlign val="superscript"/>
      <sz val="10"/>
      <color theme="0"/>
      <name val="Calibri "/>
    </font>
    <font>
      <sz val="8"/>
      <color theme="1"/>
      <name val="Calibri "/>
    </font>
    <font>
      <vertAlign val="superscript"/>
      <sz val="8"/>
      <color theme="0"/>
      <name val="Calibri "/>
    </font>
    <font>
      <sz val="8"/>
      <color theme="0"/>
      <name val="Calibri "/>
    </font>
    <font>
      <sz val="10"/>
      <color rgb="FF073763"/>
      <name val="Calibri "/>
    </font>
    <font>
      <vertAlign val="superscript"/>
      <sz val="10"/>
      <color rgb="FF3B561E"/>
      <name val="Calibri"/>
      <family val="2"/>
      <scheme val="minor"/>
    </font>
    <font>
      <vertAlign val="superscript"/>
      <sz val="11"/>
      <color theme="1"/>
      <name val="Calibri"/>
      <family val="2"/>
      <scheme val="minor"/>
    </font>
    <font>
      <sz val="11"/>
      <name val="Calibri"/>
      <family val="2"/>
      <scheme val="minor"/>
    </font>
    <font>
      <b/>
      <sz val="11"/>
      <color theme="0"/>
      <name val="Calibri"/>
      <family val="2"/>
      <scheme val="minor"/>
    </font>
    <font>
      <sz val="9"/>
      <color theme="1" tint="0.499984740745262"/>
      <name val="Calibri "/>
    </font>
    <font>
      <b/>
      <sz val="9"/>
      <color rgb="FF000000"/>
      <name val="Calibri"/>
      <family val="2"/>
      <scheme val="minor"/>
    </font>
    <font>
      <u/>
      <sz val="11"/>
      <color theme="10"/>
      <name val="Calibri"/>
      <family val="2"/>
      <scheme val="minor"/>
    </font>
    <font>
      <sz val="14"/>
      <color theme="0" tint="-0.34998626667073579"/>
      <name val="Calibri"/>
      <family val="2"/>
      <scheme val="minor"/>
    </font>
    <font>
      <vertAlign val="superscript"/>
      <sz val="10"/>
      <color rgb="FF304040"/>
      <name val="Calibri"/>
      <family val="2"/>
      <scheme val="minor"/>
    </font>
    <font>
      <sz val="10"/>
      <color rgb="FF073763"/>
      <name val="Calibri"/>
      <family val="2"/>
      <scheme val="minor"/>
    </font>
    <font>
      <b/>
      <sz val="10"/>
      <color rgb="FF073763"/>
      <name val="Calibri"/>
      <family val="2"/>
      <scheme val="minor"/>
    </font>
    <font>
      <u/>
      <sz val="12"/>
      <color theme="10"/>
      <name val="Calibri"/>
      <family val="2"/>
      <scheme val="minor"/>
    </font>
    <font>
      <sz val="9"/>
      <color theme="0"/>
      <name val="Calibri"/>
      <family val="2"/>
      <scheme val="minor"/>
    </font>
    <font>
      <sz val="22"/>
      <color theme="1"/>
      <name val="Arial"/>
      <family val="2"/>
    </font>
    <font>
      <b/>
      <sz val="14"/>
      <color theme="4"/>
      <name val="Arial Black"/>
      <family val="2"/>
    </font>
    <font>
      <sz val="10"/>
      <name val="Arial"/>
      <family val="2"/>
    </font>
    <font>
      <sz val="22"/>
      <color theme="7"/>
      <name val="Arial Black"/>
      <family val="2"/>
    </font>
    <font>
      <sz val="9"/>
      <color rgb="FF002856"/>
      <name val="Noto Sans Symbols"/>
    </font>
    <font>
      <sz val="12"/>
      <color rgb="FF000000"/>
      <name val="Arial"/>
      <family val="2"/>
    </font>
    <font>
      <b/>
      <sz val="10"/>
      <color rgb="FFFF0000"/>
      <name val="Arial"/>
      <family val="2"/>
    </font>
    <font>
      <sz val="11"/>
      <color rgb="FFFF0000"/>
      <name val="Calibri"/>
      <family val="2"/>
      <scheme val="minor"/>
    </font>
  </fonts>
  <fills count="23">
    <fill>
      <patternFill patternType="none"/>
    </fill>
    <fill>
      <patternFill patternType="gray125"/>
    </fill>
    <fill>
      <patternFill patternType="solid">
        <fgColor theme="4"/>
      </patternFill>
    </fill>
    <fill>
      <patternFill patternType="solid">
        <fgColor theme="4" tint="0.59999389629810485"/>
        <bgColor indexed="65"/>
      </patternFill>
    </fill>
    <fill>
      <patternFill patternType="solid">
        <fgColor rgb="FFFFFF00"/>
        <bgColor indexed="64"/>
      </patternFill>
    </fill>
    <fill>
      <patternFill patternType="solid">
        <fgColor rgb="FF073763"/>
        <bgColor indexed="64"/>
      </patternFill>
    </fill>
    <fill>
      <patternFill patternType="solid">
        <fgColor rgb="FFFFFFFF"/>
        <bgColor indexed="64"/>
      </patternFill>
    </fill>
    <fill>
      <patternFill patternType="solid">
        <fgColor rgb="FF002060"/>
        <bgColor indexed="64"/>
      </patternFill>
    </fill>
    <fill>
      <patternFill patternType="solid">
        <fgColor theme="2"/>
        <bgColor indexed="64"/>
      </patternFill>
    </fill>
    <fill>
      <patternFill patternType="solid">
        <fgColor theme="8"/>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D0DEEA"/>
        <bgColor indexed="64"/>
      </patternFill>
    </fill>
    <fill>
      <patternFill patternType="solid">
        <fgColor rgb="FF073763"/>
        <bgColor theme="9"/>
      </patternFill>
    </fill>
    <fill>
      <patternFill patternType="solid">
        <fgColor rgb="FF073763"/>
        <bgColor rgb="FFEFEFEF"/>
      </patternFill>
    </fill>
    <fill>
      <patternFill patternType="solid">
        <fgColor rgb="FF073763"/>
        <bgColor rgb="FFB7B7B7"/>
      </patternFill>
    </fill>
    <fill>
      <patternFill patternType="solid">
        <fgColor rgb="FF6A80A3"/>
        <bgColor indexed="64"/>
      </patternFill>
    </fill>
    <fill>
      <patternFill patternType="solid">
        <fgColor rgb="FF6A80A3"/>
        <bgColor theme="9"/>
      </patternFill>
    </fill>
    <fill>
      <patternFill patternType="solid">
        <fgColor rgb="FF6A80A3"/>
        <bgColor rgb="FFEFEFEF"/>
      </patternFill>
    </fill>
    <fill>
      <patternFill patternType="solid">
        <fgColor rgb="FFD0DEEA"/>
        <bgColor theme="9"/>
      </patternFill>
    </fill>
    <fill>
      <patternFill patternType="solid">
        <fgColor rgb="FFFFFFFF"/>
        <bgColor rgb="FFFFFFFF"/>
      </patternFill>
    </fill>
  </fills>
  <borders count="22">
    <border>
      <left/>
      <right/>
      <top/>
      <bottom/>
      <diagonal/>
    </border>
    <border>
      <left style="double">
        <color rgb="FF3F3F3F"/>
      </left>
      <right style="double">
        <color rgb="FF3F3F3F"/>
      </right>
      <top style="double">
        <color rgb="FF3F3F3F"/>
      </top>
      <bottom style="double">
        <color rgb="FF3F3F3F"/>
      </bottom>
      <diagonal/>
    </border>
    <border>
      <left/>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1"/>
      </left>
      <right style="thin">
        <color theme="1"/>
      </right>
      <top style="thin">
        <color theme="1"/>
      </top>
      <bottom style="thin">
        <color theme="1"/>
      </bottom>
      <diagonal/>
    </border>
    <border>
      <left/>
      <right/>
      <top style="thin">
        <color rgb="FF003366"/>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ck">
        <color theme="0"/>
      </left>
      <right/>
      <top style="thick">
        <color theme="0"/>
      </top>
      <bottom style="thick">
        <color theme="0"/>
      </bottom>
      <diagonal/>
    </border>
    <border>
      <left/>
      <right/>
      <top/>
      <bottom style="thin">
        <color indexed="64"/>
      </bottom>
      <diagonal/>
    </border>
    <border>
      <left/>
      <right/>
      <top style="thin">
        <color indexed="64"/>
      </top>
      <bottom/>
      <diagonal/>
    </border>
    <border>
      <left/>
      <right/>
      <top/>
      <bottom style="thin">
        <color theme="0" tint="-0.14996795556505021"/>
      </bottom>
      <diagonal/>
    </border>
    <border>
      <left/>
      <right/>
      <top style="thin">
        <color theme="0" tint="-0.14996795556505021"/>
      </top>
      <bottom/>
      <diagonal/>
    </border>
    <border>
      <left/>
      <right/>
      <top style="thick">
        <color theme="0"/>
      </top>
      <bottom style="thick">
        <color theme="0"/>
      </bottom>
      <diagonal/>
    </border>
  </borders>
  <cellStyleXfs count="6">
    <xf numFmtId="0" fontId="0" fillId="0" borderId="0"/>
    <xf numFmtId="0" fontId="2" fillId="2" borderId="0" applyNumberFormat="0" applyBorder="0" applyAlignment="0" applyProtection="0"/>
    <xf numFmtId="0" fontId="1" fillId="3" borderId="0" applyNumberFormat="0" applyBorder="0" applyAlignment="0" applyProtection="0"/>
    <xf numFmtId="0" fontId="3" fillId="0" borderId="0"/>
    <xf numFmtId="0" fontId="1" fillId="0" borderId="0"/>
    <xf numFmtId="0" fontId="45" fillId="0" borderId="0" applyNumberFormat="0" applyFill="0" applyBorder="0" applyAlignment="0" applyProtection="0"/>
  </cellStyleXfs>
  <cellXfs count="135">
    <xf numFmtId="0" fontId="0" fillId="0" borderId="0" xfId="0"/>
    <xf numFmtId="0" fontId="1" fillId="0" borderId="0" xfId="4"/>
    <xf numFmtId="2" fontId="1" fillId="0" borderId="0" xfId="4" applyNumberFormat="1"/>
    <xf numFmtId="1" fontId="2" fillId="2" borderId="0" xfId="1" applyNumberFormat="1"/>
    <xf numFmtId="2" fontId="1" fillId="3" borderId="1" xfId="2" applyNumberFormat="1" applyBorder="1"/>
    <xf numFmtId="2" fontId="1" fillId="3" borderId="0" xfId="2" applyNumberFormat="1" applyBorder="1"/>
    <xf numFmtId="1" fontId="1" fillId="0" borderId="0" xfId="4" applyNumberFormat="1"/>
    <xf numFmtId="0" fontId="4" fillId="7" borderId="0" xfId="3" applyFont="1" applyFill="1"/>
    <xf numFmtId="0" fontId="4" fillId="0" borderId="0" xfId="3" applyFont="1"/>
    <xf numFmtId="0" fontId="2" fillId="0" borderId="0" xfId="0" applyFont="1"/>
    <xf numFmtId="0" fontId="9" fillId="0" borderId="0" xfId="3" applyFont="1" applyAlignment="1">
      <alignment horizontal="center"/>
    </xf>
    <xf numFmtId="0" fontId="9" fillId="7" borderId="0" xfId="3" applyFont="1" applyFill="1" applyAlignment="1">
      <alignment horizontal="center"/>
    </xf>
    <xf numFmtId="0" fontId="10" fillId="0" borderId="0" xfId="3" applyFont="1"/>
    <xf numFmtId="0" fontId="11" fillId="0" borderId="0" xfId="3" applyFont="1" applyAlignment="1">
      <alignment horizontal="right" wrapText="1"/>
    </xf>
    <xf numFmtId="0" fontId="12" fillId="0" borderId="0" xfId="3" applyFont="1"/>
    <xf numFmtId="0" fontId="13" fillId="0" borderId="0" xfId="3" applyFont="1"/>
    <xf numFmtId="0" fontId="13" fillId="0" borderId="0" xfId="3" applyFont="1" applyAlignment="1">
      <alignment horizontal="right" wrapText="1"/>
    </xf>
    <xf numFmtId="0" fontId="1" fillId="0" borderId="0" xfId="0" applyFont="1"/>
    <xf numFmtId="0" fontId="14" fillId="0" borderId="0" xfId="3" applyFont="1"/>
    <xf numFmtId="0" fontId="10" fillId="0" borderId="0" xfId="3" applyFont="1" applyAlignment="1">
      <alignment horizontal="right" wrapText="1"/>
    </xf>
    <xf numFmtId="9" fontId="10" fillId="0" borderId="0" xfId="3" applyNumberFormat="1" applyFont="1" applyAlignment="1">
      <alignment horizontal="center" wrapText="1"/>
    </xf>
    <xf numFmtId="0" fontId="13" fillId="0" borderId="0" xfId="3" applyFont="1" applyAlignment="1" applyProtection="1">
      <alignment horizontal="center" wrapText="1"/>
      <protection locked="0"/>
    </xf>
    <xf numFmtId="0" fontId="1" fillId="0" borderId="0" xfId="0" applyFont="1" applyAlignment="1">
      <alignment horizontal="center"/>
    </xf>
    <xf numFmtId="0" fontId="20" fillId="0" borderId="0" xfId="3" applyFont="1"/>
    <xf numFmtId="0" fontId="20" fillId="0" borderId="0" xfId="3" applyFont="1" applyAlignment="1">
      <alignment wrapText="1"/>
    </xf>
    <xf numFmtId="0" fontId="22" fillId="0" borderId="0" xfId="3" applyFont="1" applyAlignment="1">
      <alignment horizontal="right" wrapText="1"/>
    </xf>
    <xf numFmtId="0" fontId="23" fillId="0" borderId="0" xfId="0" applyFont="1"/>
    <xf numFmtId="0" fontId="24" fillId="0" borderId="0" xfId="3" applyFont="1" applyAlignment="1">
      <alignment horizontal="right" wrapText="1"/>
    </xf>
    <xf numFmtId="0" fontId="25" fillId="0" borderId="0" xfId="4" applyFont="1"/>
    <xf numFmtId="0" fontId="21" fillId="0" borderId="0" xfId="4" applyFont="1"/>
    <xf numFmtId="0" fontId="2" fillId="0" borderId="0" xfId="4" applyFont="1"/>
    <xf numFmtId="0" fontId="26" fillId="0" borderId="0" xfId="0" applyFont="1" applyAlignment="1">
      <alignment wrapText="1"/>
    </xf>
    <xf numFmtId="0" fontId="26" fillId="5" borderId="0" xfId="0" applyFont="1" applyFill="1" applyAlignment="1">
      <alignment wrapText="1"/>
    </xf>
    <xf numFmtId="0" fontId="26" fillId="5" borderId="0" xfId="0" applyFont="1" applyFill="1"/>
    <xf numFmtId="0" fontId="27" fillId="0" borderId="0" xfId="0" applyFont="1"/>
    <xf numFmtId="0" fontId="28" fillId="5" borderId="3" xfId="0" applyFont="1" applyFill="1" applyBorder="1"/>
    <xf numFmtId="0" fontId="26" fillId="5" borderId="2" xfId="0" applyFont="1" applyFill="1" applyBorder="1"/>
    <xf numFmtId="0" fontId="31" fillId="5" borderId="0" xfId="0" applyFont="1" applyFill="1" applyAlignment="1">
      <alignment wrapText="1"/>
    </xf>
    <xf numFmtId="0" fontId="30" fillId="6" borderId="0" xfId="0" applyFont="1" applyFill="1" applyAlignment="1">
      <alignment horizontal="centerContinuous"/>
    </xf>
    <xf numFmtId="0" fontId="30" fillId="0" borderId="11" xfId="0" applyFont="1" applyBorder="1" applyAlignment="1">
      <alignment horizontal="centerContinuous"/>
    </xf>
    <xf numFmtId="0" fontId="30" fillId="0" borderId="12" xfId="0" applyFont="1" applyBorder="1" applyAlignment="1">
      <alignment horizontal="centerContinuous"/>
    </xf>
    <xf numFmtId="9" fontId="26" fillId="8" borderId="0" xfId="0" applyNumberFormat="1" applyFont="1" applyFill="1" applyAlignment="1" applyProtection="1">
      <alignment wrapText="1"/>
      <protection locked="0"/>
    </xf>
    <xf numFmtId="0" fontId="26" fillId="0" borderId="0" xfId="0" applyFont="1"/>
    <xf numFmtId="0" fontId="27" fillId="0" borderId="0" xfId="0" applyFont="1" applyAlignment="1">
      <alignment wrapText="1"/>
    </xf>
    <xf numFmtId="0" fontId="34" fillId="5" borderId="0" xfId="0" applyFont="1" applyFill="1" applyAlignment="1">
      <alignment horizontal="center" wrapText="1"/>
    </xf>
    <xf numFmtId="0" fontId="33" fillId="0" borderId="0" xfId="0" applyFont="1" applyAlignment="1">
      <alignment wrapText="1"/>
    </xf>
    <xf numFmtId="0" fontId="35" fillId="6" borderId="6" xfId="0" applyFont="1" applyFill="1" applyBorder="1" applyAlignment="1">
      <alignment horizontal="left"/>
    </xf>
    <xf numFmtId="0" fontId="35" fillId="6" borderId="6" xfId="0" applyFont="1" applyFill="1" applyBorder="1" applyAlignment="1">
      <alignment horizontal="right"/>
    </xf>
    <xf numFmtId="0" fontId="35" fillId="0" borderId="0" xfId="0" applyFont="1" applyAlignment="1">
      <alignment wrapText="1"/>
    </xf>
    <xf numFmtId="0" fontId="36" fillId="5" borderId="0" xfId="0" applyFont="1" applyFill="1" applyAlignment="1">
      <alignment horizontal="center" wrapText="1"/>
    </xf>
    <xf numFmtId="0" fontId="35" fillId="0" borderId="0" xfId="0" applyFont="1"/>
    <xf numFmtId="0" fontId="38" fillId="5" borderId="0" xfId="0" applyFont="1" applyFill="1" applyAlignment="1">
      <alignment wrapText="1"/>
    </xf>
    <xf numFmtId="0" fontId="40" fillId="0" borderId="0" xfId="0" applyFont="1"/>
    <xf numFmtId="0" fontId="33" fillId="0" borderId="0" xfId="0" applyFont="1"/>
    <xf numFmtId="0" fontId="9" fillId="10" borderId="0" xfId="3" applyFont="1" applyFill="1" applyAlignment="1">
      <alignment horizontal="center"/>
    </xf>
    <xf numFmtId="0" fontId="42" fillId="5" borderId="0" xfId="0" applyFont="1" applyFill="1" applyAlignment="1">
      <alignment horizontal="center"/>
    </xf>
    <xf numFmtId="0" fontId="0" fillId="0" borderId="0" xfId="0" quotePrefix="1" applyAlignment="1">
      <alignment wrapText="1"/>
    </xf>
    <xf numFmtId="0" fontId="0" fillId="0" borderId="0" xfId="0" applyAlignment="1">
      <alignment horizontal="center" vertical="center"/>
    </xf>
    <xf numFmtId="9" fontId="38" fillId="5" borderId="0" xfId="0" applyNumberFormat="1" applyFont="1" applyFill="1" applyAlignment="1">
      <alignment wrapText="1"/>
    </xf>
    <xf numFmtId="0" fontId="43" fillId="0" borderId="0" xfId="0" applyFont="1"/>
    <xf numFmtId="0" fontId="44" fillId="11" borderId="0" xfId="3" applyFont="1" applyFill="1" applyAlignment="1">
      <alignment horizontal="left" vertical="top" wrapText="1"/>
    </xf>
    <xf numFmtId="9" fontId="2" fillId="0" borderId="0" xfId="0" applyNumberFormat="1" applyFont="1"/>
    <xf numFmtId="0" fontId="0" fillId="0" borderId="0" xfId="0" applyAlignment="1">
      <alignment horizontal="center"/>
    </xf>
    <xf numFmtId="0" fontId="0" fillId="0" borderId="0" xfId="0" applyAlignment="1">
      <alignment horizontal="center" vertical="top"/>
    </xf>
    <xf numFmtId="0" fontId="0" fillId="0" borderId="0" xfId="0" applyAlignment="1">
      <alignment vertical="top"/>
    </xf>
    <xf numFmtId="0" fontId="46" fillId="0" borderId="0" xfId="0" applyFont="1"/>
    <xf numFmtId="0" fontId="11" fillId="0" borderId="0" xfId="0" applyFont="1" applyAlignment="1">
      <alignment horizontal="left" vertical="top" wrapText="1"/>
    </xf>
    <xf numFmtId="0" fontId="0" fillId="0" borderId="19" xfId="0" applyBorder="1" applyAlignment="1">
      <alignment horizontal="center"/>
    </xf>
    <xf numFmtId="0" fontId="0" fillId="0" borderId="20" xfId="0" applyBorder="1" applyAlignment="1">
      <alignment horizontal="center"/>
    </xf>
    <xf numFmtId="0" fontId="0" fillId="0" borderId="0" xfId="0" applyAlignment="1">
      <alignment horizontal="left" vertical="top" wrapText="1"/>
    </xf>
    <xf numFmtId="0" fontId="50" fillId="0" borderId="0" xfId="5" applyFont="1" applyAlignment="1" applyProtection="1">
      <alignment horizontal="left" vertical="top"/>
      <protection locked="0"/>
    </xf>
    <xf numFmtId="0" fontId="26" fillId="12" borderId="0" xfId="0" applyFont="1" applyFill="1" applyAlignment="1">
      <alignment wrapText="1"/>
    </xf>
    <xf numFmtId="0" fontId="26" fillId="12" borderId="0" xfId="0" applyFont="1" applyFill="1" applyAlignment="1">
      <alignment horizontal="left" vertical="top" wrapText="1"/>
    </xf>
    <xf numFmtId="0" fontId="26" fillId="12" borderId="0" xfId="0" applyFont="1" applyFill="1" applyAlignment="1" applyProtection="1">
      <alignment wrapText="1"/>
      <protection locked="0"/>
    </xf>
    <xf numFmtId="0" fontId="30" fillId="13" borderId="0" xfId="0" applyFont="1" applyFill="1" applyAlignment="1">
      <alignment horizontal="center" wrapText="1"/>
    </xf>
    <xf numFmtId="0" fontId="30" fillId="13" borderId="0" xfId="0" applyFont="1" applyFill="1" applyAlignment="1">
      <alignment horizontal="center"/>
    </xf>
    <xf numFmtId="0" fontId="32" fillId="14" borderId="0" xfId="0" applyFont="1" applyFill="1" applyProtection="1">
      <protection locked="0"/>
    </xf>
    <xf numFmtId="0" fontId="16" fillId="15" borderId="3" xfId="3" applyFont="1" applyFill="1" applyBorder="1" applyAlignment="1">
      <alignment horizontal="center" vertical="center" wrapText="1"/>
    </xf>
    <xf numFmtId="0" fontId="16" fillId="16" borderId="3" xfId="3" applyFont="1" applyFill="1" applyBorder="1" applyAlignment="1">
      <alignment horizontal="center" vertical="center" wrapText="1"/>
    </xf>
    <xf numFmtId="0" fontId="51" fillId="15" borderId="4" xfId="3" applyFont="1" applyFill="1" applyBorder="1" applyAlignment="1">
      <alignment horizontal="center" vertical="center" wrapText="1"/>
    </xf>
    <xf numFmtId="0" fontId="51" fillId="5" borderId="4" xfId="3" applyFont="1" applyFill="1" applyBorder="1" applyAlignment="1">
      <alignment horizontal="center" vertical="center" wrapText="1"/>
    </xf>
    <xf numFmtId="0" fontId="51" fillId="18" borderId="3" xfId="3" applyFont="1" applyFill="1" applyBorder="1" applyAlignment="1">
      <alignment horizontal="center" vertical="center" wrapText="1"/>
    </xf>
    <xf numFmtId="0" fontId="51" fillId="19" borderId="3" xfId="3" applyFont="1" applyFill="1" applyBorder="1" applyAlignment="1">
      <alignment horizontal="center" vertical="center" wrapText="1"/>
    </xf>
    <xf numFmtId="164" fontId="16" fillId="20" borderId="3" xfId="3" applyNumberFormat="1" applyFont="1" applyFill="1" applyBorder="1" applyAlignment="1">
      <alignment horizontal="center" wrapText="1"/>
    </xf>
    <xf numFmtId="164" fontId="17" fillId="20" borderId="3" xfId="3" applyNumberFormat="1" applyFont="1" applyFill="1" applyBorder="1" applyAlignment="1">
      <alignment horizontal="center" wrapText="1"/>
    </xf>
    <xf numFmtId="0" fontId="15" fillId="15" borderId="13" xfId="3" applyFont="1" applyFill="1" applyBorder="1" applyAlignment="1">
      <alignment horizontal="centerContinuous" vertical="center" wrapText="1"/>
    </xf>
    <xf numFmtId="0" fontId="15" fillId="15" borderId="14" xfId="3" applyFont="1" applyFill="1" applyBorder="1" applyAlignment="1">
      <alignment horizontal="centerContinuous" vertical="center" wrapText="1"/>
    </xf>
    <xf numFmtId="0" fontId="15" fillId="15" borderId="15" xfId="3" applyFont="1" applyFill="1" applyBorder="1" applyAlignment="1">
      <alignment horizontal="centerContinuous" vertical="center" wrapText="1"/>
    </xf>
    <xf numFmtId="0" fontId="39" fillId="14" borderId="13" xfId="3" applyFont="1" applyFill="1" applyBorder="1" applyAlignment="1">
      <alignment horizontal="right" vertical="top" wrapText="1"/>
    </xf>
    <xf numFmtId="0" fontId="18" fillId="14" borderId="15" xfId="3" applyFont="1" applyFill="1" applyBorder="1" applyAlignment="1">
      <alignment horizontal="left" vertical="center" wrapText="1"/>
    </xf>
    <xf numFmtId="0" fontId="2" fillId="5" borderId="14" xfId="0" applyFont="1" applyFill="1" applyBorder="1" applyAlignment="1">
      <alignment horizontal="centerContinuous"/>
    </xf>
    <xf numFmtId="0" fontId="18" fillId="14" borderId="14" xfId="3" applyFont="1" applyFill="1" applyBorder="1" applyAlignment="1">
      <alignment horizontal="left" vertical="center" wrapText="1"/>
    </xf>
    <xf numFmtId="0" fontId="39" fillId="14" borderId="14" xfId="3" applyFont="1" applyFill="1" applyBorder="1" applyAlignment="1">
      <alignment horizontal="right" vertical="top" wrapText="1"/>
    </xf>
    <xf numFmtId="0" fontId="47" fillId="21" borderId="13" xfId="3" applyFont="1" applyFill="1" applyBorder="1" applyAlignment="1">
      <alignment horizontal="center" vertical="center" wrapText="1"/>
    </xf>
    <xf numFmtId="0" fontId="19" fillId="21" borderId="14" xfId="3" applyFont="1" applyFill="1" applyBorder="1" applyAlignment="1">
      <alignment horizontal="left" vertical="center" wrapText="1"/>
    </xf>
    <xf numFmtId="0" fontId="47" fillId="21" borderId="14" xfId="3" applyFont="1" applyFill="1" applyBorder="1" applyAlignment="1">
      <alignment horizontal="center" vertical="center" wrapText="1"/>
    </xf>
    <xf numFmtId="0" fontId="19" fillId="21" borderId="14" xfId="3" applyFont="1" applyFill="1" applyBorder="1" applyAlignment="1">
      <alignment horizontal="center" vertical="center" wrapText="1"/>
    </xf>
    <xf numFmtId="0" fontId="19" fillId="21" borderId="15" xfId="3" applyFont="1" applyFill="1" applyBorder="1" applyAlignment="1">
      <alignment horizontal="left" vertical="center" wrapText="1"/>
    </xf>
    <xf numFmtId="0" fontId="4" fillId="22" borderId="0" xfId="3" applyFont="1" applyFill="1"/>
    <xf numFmtId="0" fontId="3" fillId="0" borderId="0" xfId="3"/>
    <xf numFmtId="0" fontId="52" fillId="22" borderId="0" xfId="3" applyFont="1" applyFill="1"/>
    <xf numFmtId="0" fontId="55" fillId="22" borderId="0" xfId="3" applyFont="1" applyFill="1" applyAlignment="1">
      <alignment wrapText="1"/>
    </xf>
    <xf numFmtId="0" fontId="56" fillId="0" borderId="0" xfId="3" applyFont="1" applyAlignment="1">
      <alignment horizontal="left" vertical="center" readingOrder="1"/>
    </xf>
    <xf numFmtId="0" fontId="57" fillId="22" borderId="0" xfId="3" applyFont="1" applyFill="1" applyAlignment="1">
      <alignment vertical="top" wrapText="1"/>
    </xf>
    <xf numFmtId="0" fontId="58" fillId="22" borderId="0" xfId="3" applyFont="1" applyFill="1" applyAlignment="1">
      <alignment vertical="top" wrapText="1"/>
    </xf>
    <xf numFmtId="0" fontId="3" fillId="22" borderId="0" xfId="3" applyFill="1" applyAlignment="1">
      <alignment horizontal="left" vertical="top" wrapText="1"/>
    </xf>
    <xf numFmtId="0" fontId="14" fillId="0" borderId="0" xfId="3" applyFont="1" applyAlignment="1">
      <alignment wrapText="1"/>
    </xf>
    <xf numFmtId="0" fontId="59" fillId="0" borderId="0" xfId="0" applyFont="1"/>
    <xf numFmtId="0" fontId="45" fillId="0" borderId="0" xfId="5" applyAlignment="1" applyProtection="1">
      <alignment horizontal="left" vertical="top" wrapText="1"/>
      <protection locked="0"/>
    </xf>
    <xf numFmtId="0" fontId="53" fillId="22" borderId="0" xfId="3" applyFont="1" applyFill="1" applyAlignment="1">
      <alignment horizontal="left"/>
    </xf>
    <xf numFmtId="0" fontId="54" fillId="0" borderId="0" xfId="3" applyFont="1"/>
    <xf numFmtId="0" fontId="37" fillId="9" borderId="13" xfId="0" applyFont="1" applyFill="1" applyBorder="1" applyAlignment="1">
      <alignment wrapText="1"/>
    </xf>
    <xf numFmtId="0" fontId="37" fillId="9" borderId="15" xfId="0" applyFont="1" applyFill="1" applyBorder="1" applyAlignment="1">
      <alignment wrapText="1"/>
    </xf>
    <xf numFmtId="0" fontId="27" fillId="0" borderId="7" xfId="0" applyFont="1" applyBorder="1" applyAlignment="1">
      <alignment horizontal="center" vertical="center" wrapText="1"/>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27" fillId="0" borderId="10" xfId="0" applyFont="1" applyBorder="1" applyAlignment="1">
      <alignment horizontal="center" vertical="center" wrapText="1"/>
    </xf>
    <xf numFmtId="0" fontId="35" fillId="0" borderId="17" xfId="0" applyFont="1" applyBorder="1" applyAlignment="1">
      <alignment wrapText="1"/>
    </xf>
    <xf numFmtId="0" fontId="26" fillId="0" borderId="0" xfId="0" applyFont="1" applyAlignment="1" applyProtection="1">
      <alignment wrapText="1"/>
      <protection locked="0"/>
    </xf>
    <xf numFmtId="0" fontId="26" fillId="0" borderId="18" xfId="0" applyFont="1" applyBorder="1" applyAlignment="1" applyProtection="1">
      <alignment wrapText="1"/>
      <protection locked="0"/>
    </xf>
    <xf numFmtId="0" fontId="15" fillId="5" borderId="0" xfId="3" applyFont="1" applyFill="1" applyAlignment="1">
      <alignment horizontal="center" vertical="center"/>
    </xf>
    <xf numFmtId="0" fontId="14" fillId="17" borderId="16" xfId="3" applyFont="1" applyFill="1" applyBorder="1" applyAlignment="1">
      <alignment horizontal="center" vertical="center" wrapText="1"/>
    </xf>
    <xf numFmtId="0" fontId="14" fillId="17" borderId="21" xfId="3" applyFont="1" applyFill="1" applyBorder="1" applyAlignment="1">
      <alignment horizontal="center" vertical="center" wrapText="1"/>
    </xf>
    <xf numFmtId="0" fontId="16" fillId="15" borderId="13" xfId="3" applyFont="1" applyFill="1" applyBorder="1" applyAlignment="1">
      <alignment horizontal="center" vertical="center" wrapText="1"/>
    </xf>
    <xf numFmtId="0" fontId="16" fillId="15" borderId="14" xfId="3" applyFont="1" applyFill="1" applyBorder="1" applyAlignment="1">
      <alignment horizontal="center" vertical="center" wrapText="1"/>
    </xf>
    <xf numFmtId="0" fontId="16" fillId="15" borderId="15" xfId="3" applyFont="1" applyFill="1" applyBorder="1" applyAlignment="1">
      <alignment horizontal="center" vertical="center" wrapText="1"/>
    </xf>
    <xf numFmtId="0" fontId="41" fillId="0" borderId="0" xfId="0" applyFont="1" applyAlignment="1">
      <alignment wrapText="1"/>
    </xf>
    <xf numFmtId="0" fontId="3" fillId="7" borderId="0" xfId="3" applyFill="1" applyAlignment="1">
      <alignment horizontal="center"/>
    </xf>
    <xf numFmtId="0" fontId="0" fillId="7" borderId="0" xfId="0" applyFill="1" applyAlignment="1">
      <alignment horizontal="center"/>
    </xf>
    <xf numFmtId="0" fontId="15" fillId="15" borderId="13" xfId="3" applyFont="1" applyFill="1" applyBorder="1" applyAlignment="1">
      <alignment horizontal="center" vertical="center" wrapText="1"/>
    </xf>
    <xf numFmtId="0" fontId="15" fillId="15" borderId="14" xfId="3" applyFont="1" applyFill="1" applyBorder="1" applyAlignment="1">
      <alignment horizontal="center" vertical="center" wrapText="1"/>
    </xf>
    <xf numFmtId="0" fontId="15" fillId="15" borderId="15" xfId="3" applyFont="1" applyFill="1" applyBorder="1" applyAlignment="1">
      <alignment horizontal="center" vertical="center" wrapText="1"/>
    </xf>
    <xf numFmtId="0" fontId="6" fillId="0" borderId="5" xfId="0" applyFont="1" applyBorder="1" applyAlignment="1">
      <alignment horizontal="center" vertical="center" wrapText="1"/>
    </xf>
    <xf numFmtId="0" fontId="7" fillId="14" borderId="5" xfId="0" applyFont="1" applyFill="1" applyBorder="1" applyAlignment="1">
      <alignment horizontal="center" vertical="center"/>
    </xf>
    <xf numFmtId="0" fontId="5" fillId="4" borderId="0" xfId="4" applyFont="1" applyFill="1" applyAlignment="1">
      <alignment horizontal="center" wrapText="1"/>
    </xf>
  </cellXfs>
  <cellStyles count="6">
    <cellStyle name="40% - Accent1" xfId="2" builtinId="31"/>
    <cellStyle name="Accent1" xfId="1" builtinId="29"/>
    <cellStyle name="Hyperlink" xfId="5" builtinId="8"/>
    <cellStyle name="Normal" xfId="0" builtinId="0"/>
    <cellStyle name="Normal 2" xfId="3" xr:uid="{8B64FF16-B53C-4808-B9B1-30D87F7E02C4}"/>
    <cellStyle name="Normal 2 2" xfId="4" xr:uid="{AEB3E8F1-8923-4155-9A46-F73920ADDF82}"/>
  </cellStyles>
  <dxfs count="30">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fgColor theme="0"/>
        </patternFill>
      </fill>
      <border>
        <left/>
        <right/>
        <top/>
        <bottom/>
        <vertical/>
        <horizontal/>
      </border>
    </dxf>
    <dxf>
      <font>
        <color theme="0"/>
      </font>
    </dxf>
    <dxf>
      <font>
        <color theme="0"/>
      </font>
    </dxf>
    <dxf>
      <font>
        <color theme="0"/>
      </font>
      <fill>
        <patternFill>
          <bgColor theme="0"/>
        </patternFill>
      </fill>
    </dxf>
    <dxf>
      <font>
        <b/>
        <i val="0"/>
        <color theme="3" tint="-0.24994659260841701"/>
      </font>
      <fill>
        <patternFill>
          <bgColor theme="0" tint="-0.14996795556505021"/>
        </patternFill>
      </fill>
      <border>
        <left style="thin">
          <color theme="0"/>
        </left>
        <right style="thin">
          <color theme="0"/>
        </right>
        <top style="thin">
          <color theme="0"/>
        </top>
        <bottom style="thin">
          <color theme="0"/>
        </bottom>
        <vertical/>
        <horizontal/>
      </border>
    </dxf>
    <dxf>
      <border>
        <bottom style="thin">
          <color theme="2" tint="-9.9948118533890809E-2"/>
        </bottom>
        <vertical/>
        <horizontal/>
      </border>
    </dxf>
    <dxf>
      <font>
        <b/>
        <i val="0"/>
        <color theme="3" tint="-0.24994659260841701"/>
      </font>
      <fill>
        <patternFill>
          <bgColor theme="0" tint="-0.14996795556505021"/>
        </patternFill>
      </fill>
      <border>
        <left style="thin">
          <color theme="0"/>
        </left>
        <right style="thin">
          <color theme="0"/>
        </right>
        <top style="thin">
          <color theme="0"/>
        </top>
        <bottom style="thin">
          <color theme="0"/>
        </bottom>
        <vertical/>
        <horizontal/>
      </border>
    </dxf>
    <dxf>
      <border>
        <bottom style="thin">
          <color theme="2" tint="-9.9948118533890809E-2"/>
        </bottom>
        <vertical/>
        <horizontal/>
      </border>
    </dxf>
    <dxf>
      <font>
        <b/>
        <i val="0"/>
        <color theme="3" tint="-0.24994659260841701"/>
      </font>
      <fill>
        <patternFill>
          <bgColor theme="0" tint="-0.14996795556505021"/>
        </patternFill>
      </fill>
      <border>
        <left style="thin">
          <color theme="0"/>
        </left>
        <right style="thin">
          <color theme="0"/>
        </right>
        <top style="thin">
          <color theme="0"/>
        </top>
        <bottom style="thin">
          <color theme="0"/>
        </bottom>
        <vertical/>
        <horizontal/>
      </border>
    </dxf>
    <dxf>
      <border>
        <bottom style="thin">
          <color theme="2" tint="-9.9948118533890809E-2"/>
        </bottom>
        <vertical/>
        <horizontal/>
      </border>
    </dxf>
    <dxf>
      <font>
        <b/>
        <i val="0"/>
        <color theme="1"/>
      </font>
    </dxf>
    <dxf>
      <font>
        <color theme="0"/>
      </font>
      <fill>
        <patternFill>
          <bgColor theme="0"/>
        </patternFill>
      </fill>
    </dxf>
    <dxf>
      <fill>
        <patternFill>
          <bgColor theme="0" tint="-0.14996795556505021"/>
        </patternFill>
      </fill>
      <border>
        <left style="thin">
          <color theme="0"/>
        </left>
        <right style="thin">
          <color theme="0"/>
        </right>
        <top style="thin">
          <color theme="0"/>
        </top>
        <bottom style="thin">
          <color theme="0"/>
        </bottom>
        <vertical/>
        <horizontal/>
      </border>
    </dxf>
    <dxf>
      <font>
        <color theme="0"/>
      </font>
      <fill>
        <patternFill>
          <bgColor theme="0"/>
        </patternFill>
      </fill>
    </dxf>
    <dxf>
      <font>
        <b val="0"/>
        <i/>
        <color theme="1" tint="0.499984740745262"/>
      </font>
    </dxf>
    <dxf>
      <font>
        <b val="0"/>
        <i/>
        <color theme="1" tint="0.499984740745262"/>
      </font>
    </dxf>
    <dxf>
      <font>
        <color rgb="FF073763"/>
      </font>
    </dxf>
    <dxf>
      <font>
        <color theme="0"/>
      </font>
    </dxf>
    <dxf>
      <font>
        <b val="0"/>
        <i/>
        <color theme="1" tint="0.499984740745262"/>
      </font>
    </dxf>
    <dxf>
      <font>
        <b val="0"/>
        <i/>
        <color theme="1" tint="0.499984740745262"/>
      </font>
    </dxf>
  </dxfs>
  <tableStyles count="0" defaultTableStyle="TableStyleMedium2" defaultPivotStyle="PivotStyleLight16"/>
  <colors>
    <mruColors>
      <color rgb="FF073763"/>
      <color rgb="FFD0DEEA"/>
      <color rgb="FF6A80A3"/>
      <color rgb="FF002838"/>
      <color rgb="FF91DCF6"/>
      <color rgb="FFD8F3FC"/>
      <color rgb="FFA1B9B8"/>
      <color rgb="FF3B561E"/>
      <color rgb="FF83BE42"/>
      <color rgb="FFC1DF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0018555759683648E-2"/>
          <c:y val="2.5810693239813085E-2"/>
          <c:w val="0.97923578482730811"/>
          <c:h val="0.95556914907929791"/>
        </c:manualLayout>
      </c:layout>
      <c:scatterChart>
        <c:scatterStyle val="lineMarker"/>
        <c:varyColors val="0"/>
        <c:ser>
          <c:idx val="1"/>
          <c:order val="0"/>
          <c:tx>
            <c:v>Translated 2</c:v>
          </c:tx>
          <c:spPr>
            <a:ln w="25400" cap="rnd">
              <a:noFill/>
              <a:round/>
            </a:ln>
            <a:effectLst/>
          </c:spPr>
          <c:marker>
            <c:symbol val="circle"/>
            <c:size val="18"/>
            <c:spPr>
              <a:solidFill>
                <a:srgbClr val="EA1EBE"/>
              </a:solidFill>
              <a:ln w="9525">
                <a:solidFill>
                  <a:schemeClr val="accent2"/>
                </a:solidFill>
              </a:ln>
              <a:effectLst/>
            </c:spPr>
          </c:marker>
          <c:dLbls>
            <c:dLbl>
              <c:idx val="0"/>
              <c:tx>
                <c:rich>
                  <a:bodyPr/>
                  <a:lstStyle/>
                  <a:p>
                    <a:fld id="{F9BA4D47-EB16-46F9-8AF8-9C04BAD6E6A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D34-4978-9D76-80D7BD19DAAC}"/>
                </c:ext>
              </c:extLst>
            </c:dLbl>
            <c:dLbl>
              <c:idx val="1"/>
              <c:tx>
                <c:rich>
                  <a:bodyPr/>
                  <a:lstStyle/>
                  <a:p>
                    <a:fld id="{0489975F-B7E5-422D-AC70-8FFA18F574B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D34-4978-9D76-80D7BD19DAAC}"/>
                </c:ext>
              </c:extLst>
            </c:dLbl>
            <c:dLbl>
              <c:idx val="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CD34-4978-9D76-80D7BD19DAAC}"/>
                </c:ext>
              </c:extLst>
            </c:dLbl>
            <c:dLbl>
              <c:idx val="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CD34-4978-9D76-80D7BD19DAAC}"/>
                </c:ext>
              </c:extLst>
            </c:dLbl>
            <c:dLbl>
              <c:idx val="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CD34-4978-9D76-80D7BD19DAAC}"/>
                </c:ext>
              </c:extLst>
            </c:dLbl>
            <c:dLbl>
              <c:idx val="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CD34-4978-9D76-80D7BD19DAAC}"/>
                </c:ext>
              </c:extLst>
            </c:dLbl>
            <c:dLbl>
              <c:idx val="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CD34-4978-9D76-80D7BD19DAAC}"/>
                </c:ext>
              </c:extLst>
            </c:dLbl>
            <c:dLbl>
              <c:idx val="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CD34-4978-9D76-80D7BD19DAAC}"/>
                </c:ext>
              </c:extLst>
            </c:dLbl>
            <c:dLbl>
              <c:idx val="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CD34-4978-9D76-80D7BD19DAAC}"/>
                </c:ext>
              </c:extLst>
            </c:dLbl>
            <c:dLbl>
              <c:idx val="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CD34-4978-9D76-80D7BD19DAAC}"/>
                </c:ext>
              </c:extLst>
            </c:dLbl>
            <c:dLbl>
              <c:idx val="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CD34-4978-9D76-80D7BD19DAAC}"/>
                </c:ext>
              </c:extLst>
            </c:dLbl>
            <c:dLbl>
              <c:idx val="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CD34-4978-9D76-80D7BD19DAAC}"/>
                </c:ext>
              </c:extLst>
            </c:dLbl>
            <c:dLbl>
              <c:idx val="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CD34-4978-9D76-80D7BD19DAAC}"/>
                </c:ext>
              </c:extLst>
            </c:dLbl>
            <c:dLbl>
              <c:idx val="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CD34-4978-9D76-80D7BD19DAAC}"/>
                </c:ext>
              </c:extLst>
            </c:dLbl>
            <c:dLbl>
              <c:idx val="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CD34-4978-9D76-80D7BD19DAAC}"/>
                </c:ext>
              </c:extLst>
            </c:dLbl>
            <c:dLbl>
              <c:idx val="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CD34-4978-9D76-80D7BD19DAAC}"/>
                </c:ext>
              </c:extLst>
            </c:dLbl>
            <c:dLbl>
              <c:idx val="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CD34-4978-9D76-80D7BD19DAAC}"/>
                </c:ext>
              </c:extLst>
            </c:dLbl>
            <c:dLbl>
              <c:idx val="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CD34-4978-9D76-80D7BD19DAAC}"/>
                </c:ext>
              </c:extLst>
            </c:dLbl>
            <c:dLbl>
              <c:idx val="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CD34-4978-9D76-80D7BD19DAAC}"/>
                </c:ext>
              </c:extLst>
            </c:dLbl>
            <c:dLbl>
              <c:idx val="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CD34-4978-9D76-80D7BD19DAAC}"/>
                </c:ext>
              </c:extLst>
            </c:dLbl>
            <c:dLbl>
              <c:idx val="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CD34-4978-9D76-80D7BD19DAAC}"/>
                </c:ext>
              </c:extLst>
            </c:dLbl>
            <c:dLbl>
              <c:idx val="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CD34-4978-9D76-80D7BD19DAAC}"/>
                </c:ext>
              </c:extLst>
            </c:dLbl>
            <c:dLbl>
              <c:idx val="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CD34-4978-9D76-80D7BD19DAAC}"/>
                </c:ext>
              </c:extLst>
            </c:dLbl>
            <c:dLbl>
              <c:idx val="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CD34-4978-9D76-80D7BD19DAAC}"/>
                </c:ext>
              </c:extLst>
            </c:dLbl>
            <c:dLbl>
              <c:idx val="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CD34-4978-9D76-80D7BD19DAAC}"/>
                </c:ext>
              </c:extLst>
            </c:dLbl>
            <c:spPr>
              <a:noFill/>
              <a:ln>
                <a:noFill/>
              </a:ln>
              <a:effectLst/>
            </c:spPr>
            <c:txPr>
              <a:bodyPr rot="0" spcFirstLastPara="1" vertOverflow="ellipsis" vert="horz" wrap="square" lIns="38100" tIns="19050" rIns="38100" bIns="19050" anchor="t"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Sandbox!$I$4:$I$28</c:f>
              <c:numCache>
                <c:formatCode>General</c:formatCode>
                <c:ptCount val="25"/>
                <c:pt idx="0">
                  <c:v>-0.19529615861342728</c:v>
                </c:pt>
                <c:pt idx="1">
                  <c:v>-4.7140452079103112E-2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xVal>
          <c:yVal>
            <c:numRef>
              <c:f>Sandbox!$J$4:$J$28</c:f>
              <c:numCache>
                <c:formatCode>General</c:formatCode>
                <c:ptCount val="25"/>
                <c:pt idx="0">
                  <c:v>0.93607469128504872</c:v>
                </c:pt>
                <c:pt idx="1">
                  <c:v>0.5185449728701349</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yVal>
          <c:smooth val="0"/>
          <c:extLst>
            <c:ext xmlns:c15="http://schemas.microsoft.com/office/drawing/2012/chart" uri="{02D57815-91ED-43cb-92C2-25804820EDAC}">
              <c15:datalabelsRange>
                <c15:f>Sandbox!$A$4:$A$28</c15:f>
                <c15:dlblRange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15:dlblRangeCache>
              </c15:datalabelsRange>
            </c:ext>
            <c:ext xmlns:c16="http://schemas.microsoft.com/office/drawing/2014/chart" uri="{C3380CC4-5D6E-409C-BE32-E72D297353CC}">
              <c16:uniqueId val="{0000001A-CD34-4978-9D76-80D7BD19DAAC}"/>
            </c:ext>
          </c:extLst>
        </c:ser>
        <c:ser>
          <c:idx val="2"/>
          <c:order val="1"/>
          <c:tx>
            <c:v>Names</c:v>
          </c:tx>
          <c:spPr>
            <a:ln w="25400" cap="rnd">
              <a:noFill/>
              <a:round/>
            </a:ln>
            <a:effectLst/>
          </c:spPr>
          <c:marker>
            <c:symbol val="none"/>
          </c:marker>
          <c:xVal>
            <c:numRef>
              <c:f>Sandbox!$E$4:$E$28</c:f>
              <c:numCache>
                <c:formatCode>0.00</c:formatCode>
                <c:ptCount val="25"/>
                <c:pt idx="0">
                  <c:v>1.5714285714285716</c:v>
                </c:pt>
                <c:pt idx="1">
                  <c:v>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xVal>
          <c:yVal>
            <c:numRef>
              <c:f>Sandbox!$F$4:$F$28</c:f>
              <c:numCache>
                <c:formatCode>0.00</c:formatCode>
                <c:ptCount val="25"/>
                <c:pt idx="0">
                  <c:v>2.4</c:v>
                </c:pt>
                <c:pt idx="1">
                  <c:v>1.2</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yVal>
          <c:smooth val="0"/>
          <c:extLst>
            <c:ext xmlns:c16="http://schemas.microsoft.com/office/drawing/2014/chart" uri="{C3380CC4-5D6E-409C-BE32-E72D297353CC}">
              <c16:uniqueId val="{00000034-CD34-4978-9D76-80D7BD19DAAC}"/>
            </c:ext>
          </c:extLst>
        </c:ser>
        <c:dLbls>
          <c:showLegendKey val="0"/>
          <c:showVal val="0"/>
          <c:showCatName val="0"/>
          <c:showSerName val="0"/>
          <c:showPercent val="0"/>
          <c:showBubbleSize val="0"/>
        </c:dLbls>
        <c:axId val="1101500272"/>
        <c:axId val="970820784"/>
      </c:scatterChart>
      <c:valAx>
        <c:axId val="1101500272"/>
        <c:scaling>
          <c:orientation val="minMax"/>
          <c:max val="1.1800000000000002"/>
          <c:min val="-0.75000000000000011"/>
        </c:scaling>
        <c:delete val="1"/>
        <c:axPos val="b"/>
        <c:numFmt formatCode="General" sourceLinked="1"/>
        <c:majorTickMark val="out"/>
        <c:minorTickMark val="none"/>
        <c:tickLblPos val="nextTo"/>
        <c:crossAx val="970820784"/>
        <c:crosses val="autoZero"/>
        <c:crossBetween val="midCat"/>
      </c:valAx>
      <c:valAx>
        <c:axId val="970820784"/>
        <c:scaling>
          <c:orientation val="minMax"/>
          <c:max val="2"/>
          <c:min val="0"/>
        </c:scaling>
        <c:delete val="1"/>
        <c:axPos val="l"/>
        <c:numFmt formatCode="General" sourceLinked="1"/>
        <c:majorTickMark val="out"/>
        <c:minorTickMark val="none"/>
        <c:tickLblPos val="nextTo"/>
        <c:crossAx val="11015002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8.emf"/></Relationships>
</file>

<file path=xl/drawings/_rels/drawing8.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oneCellAnchor>
    <xdr:from>
      <xdr:col>1</xdr:col>
      <xdr:colOff>28575</xdr:colOff>
      <xdr:row>13</xdr:row>
      <xdr:rowOff>66675</xdr:rowOff>
    </xdr:from>
    <xdr:ext cx="5467350" cy="438150"/>
    <xdr:sp macro="" textlink="">
      <xdr:nvSpPr>
        <xdr:cNvPr id="2" name="Shape 3">
          <a:extLst>
            <a:ext uri="{FF2B5EF4-FFF2-40B4-BE49-F238E27FC236}">
              <a16:creationId xmlns:a16="http://schemas.microsoft.com/office/drawing/2014/main" id="{04E1A75C-193D-420F-B8DB-E6E7CDDB52EB}"/>
            </a:ext>
          </a:extLst>
        </xdr:cNvPr>
        <xdr:cNvSpPr txBox="1"/>
      </xdr:nvSpPr>
      <xdr:spPr>
        <a:xfrm>
          <a:off x="280035" y="5507355"/>
          <a:ext cx="5467350" cy="438150"/>
        </a:xfrm>
        <a:prstGeom prst="rect">
          <a:avLst/>
        </a:prstGeom>
        <a:noFill/>
        <a:ln>
          <a:noFill/>
        </a:ln>
      </xdr:spPr>
      <xdr:txBody>
        <a:bodyPr spcFirstLastPara="1" wrap="square" lIns="0" tIns="0" rIns="0" bIns="0" anchor="t" anchorCtr="0">
          <a:noAutofit/>
        </a:bodyPr>
        <a:lstStyle/>
        <a:p>
          <a:pPr marL="0" lvl="0" indent="0" algn="l" rtl="0">
            <a:lnSpc>
              <a:spcPct val="100000"/>
            </a:lnSpc>
            <a:spcBef>
              <a:spcPts val="0"/>
            </a:spcBef>
            <a:spcAft>
              <a:spcPts val="0"/>
            </a:spcAft>
            <a:buNone/>
          </a:pPr>
          <a:r>
            <a:rPr lang="en-US" sz="700" b="0" i="0" u="none" strike="noStrike">
              <a:solidFill>
                <a:schemeClr val="dk1"/>
              </a:solidFill>
              <a:latin typeface="Arial"/>
              <a:ea typeface="Arial"/>
              <a:cs typeface="Arial"/>
              <a:sym typeface="Arial"/>
            </a:rPr>
            <a:t>© 202</a:t>
          </a:r>
          <a:r>
            <a:rPr lang="en-US" sz="700">
              <a:solidFill>
                <a:schemeClr val="dk1"/>
              </a:solidFill>
            </a:rPr>
            <a:t>1</a:t>
          </a:r>
          <a:r>
            <a:rPr lang="en-US" sz="700" b="0" i="0" u="none" strike="noStrike">
              <a:solidFill>
                <a:schemeClr val="dk1"/>
              </a:solidFill>
              <a:latin typeface="Arial"/>
              <a:ea typeface="Arial"/>
              <a:cs typeface="Arial"/>
              <a:sym typeface="Arial"/>
            </a:rPr>
            <a:t> Gartner, Inc. and/or its affiliates. All rights reserved. Gartner is a registered trademark of Gartner, Inc. or its affiliates. This presentation, including all supporting materials, is proprietary to Gartner, Inc. and/or its affiliates and is for the sole internal use of the intended recipients. Because this presentation may contain information that is confidential, proprietary or otherwise legally protected, it may not be further copied, distributed or publicly displayed without the express written permission of Gartner, Inc. or its affiliates.</a:t>
          </a:r>
          <a:endParaRPr sz="700">
            <a:solidFill>
              <a:schemeClr val="dk1"/>
            </a:solidFill>
          </a:endParaRPr>
        </a:p>
      </xdr:txBody>
    </xdr:sp>
    <xdr:clientData fLocksWithSheet="0"/>
  </xdr:oneCellAnchor>
  <xdr:oneCellAnchor>
    <xdr:from>
      <xdr:col>1</xdr:col>
      <xdr:colOff>0</xdr:colOff>
      <xdr:row>3</xdr:row>
      <xdr:rowOff>0</xdr:rowOff>
    </xdr:from>
    <xdr:ext cx="5753100" cy="2524125"/>
    <xdr:grpSp>
      <xdr:nvGrpSpPr>
        <xdr:cNvPr id="3" name="Shape 2">
          <a:extLst>
            <a:ext uri="{FF2B5EF4-FFF2-40B4-BE49-F238E27FC236}">
              <a16:creationId xmlns:a16="http://schemas.microsoft.com/office/drawing/2014/main" id="{0BB83D23-6A3B-4F6F-8537-85B71458BC07}"/>
            </a:ext>
          </a:extLst>
        </xdr:cNvPr>
        <xdr:cNvGrpSpPr/>
      </xdr:nvGrpSpPr>
      <xdr:grpSpPr>
        <a:xfrm>
          <a:off x="247650" y="485775"/>
          <a:ext cx="5753100" cy="2524125"/>
          <a:chOff x="2469450" y="2517938"/>
          <a:chExt cx="5753100" cy="2524125"/>
        </a:xfrm>
      </xdr:grpSpPr>
      <xdr:grpSp>
        <xdr:nvGrpSpPr>
          <xdr:cNvPr id="4" name="Shape 4">
            <a:extLst>
              <a:ext uri="{FF2B5EF4-FFF2-40B4-BE49-F238E27FC236}">
                <a16:creationId xmlns:a16="http://schemas.microsoft.com/office/drawing/2014/main" id="{AC4E2623-2CCD-4340-BDA0-CCB2A2270A9F}"/>
              </a:ext>
            </a:extLst>
          </xdr:cNvPr>
          <xdr:cNvGrpSpPr/>
        </xdr:nvGrpSpPr>
        <xdr:grpSpPr>
          <a:xfrm>
            <a:off x="2469450" y="2517938"/>
            <a:ext cx="5753100" cy="2524125"/>
            <a:chOff x="460256" y="1282497"/>
            <a:chExt cx="5760347" cy="2769237"/>
          </a:xfrm>
        </xdr:grpSpPr>
        <xdr:sp macro="" textlink="">
          <xdr:nvSpPr>
            <xdr:cNvPr id="5" name="Shape 5">
              <a:extLst>
                <a:ext uri="{FF2B5EF4-FFF2-40B4-BE49-F238E27FC236}">
                  <a16:creationId xmlns:a16="http://schemas.microsoft.com/office/drawing/2014/main" id="{6C8CCE16-3B28-4CFD-A6C7-22D3B12104A5}"/>
                </a:ext>
              </a:extLst>
            </xdr:cNvPr>
            <xdr:cNvSpPr/>
          </xdr:nvSpPr>
          <xdr:spPr>
            <a:xfrm>
              <a:off x="460256" y="1282497"/>
              <a:ext cx="5760325" cy="2769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 name="Shape 6">
              <a:extLst>
                <a:ext uri="{FF2B5EF4-FFF2-40B4-BE49-F238E27FC236}">
                  <a16:creationId xmlns:a16="http://schemas.microsoft.com/office/drawing/2014/main" id="{1F4F31EB-C374-4957-B8AD-F9DE975FA487}"/>
                </a:ext>
              </a:extLst>
            </xdr:cNvPr>
            <xdr:cNvSpPr/>
          </xdr:nvSpPr>
          <xdr:spPr>
            <a:xfrm>
              <a:off x="6085640" y="1282497"/>
              <a:ext cx="134963" cy="2769237"/>
            </a:xfrm>
            <a:prstGeom prst="rect">
              <a:avLst/>
            </a:prstGeom>
            <a:solidFill>
              <a:srgbClr val="00B0F0"/>
            </a:solidFill>
            <a:ln>
              <a:noFill/>
            </a:ln>
          </xdr:spPr>
          <xdr:txBody>
            <a:bodyPr spcFirstLastPara="1" wrap="square" lIns="91425" tIns="45700" rIns="91425" bIns="45700" anchor="ctr" anchorCtr="0">
              <a:noAutofit/>
            </a:bodyPr>
            <a:lstStyle/>
            <a:p>
              <a:pPr marL="0" lvl="0" indent="0" algn="l" rtl="0">
                <a:lnSpc>
                  <a:spcPct val="100000"/>
                </a:lnSpc>
                <a:spcBef>
                  <a:spcPts val="0"/>
                </a:spcBef>
                <a:spcAft>
                  <a:spcPts val="0"/>
                </a:spcAft>
                <a:buNone/>
              </a:pPr>
              <a:endParaRPr sz="1800">
                <a:solidFill>
                  <a:srgbClr val="000000"/>
                </a:solidFill>
              </a:endParaRPr>
            </a:p>
          </xdr:txBody>
        </xdr:sp>
        <xdr:sp macro="" textlink="">
          <xdr:nvSpPr>
            <xdr:cNvPr id="7" name="Shape 7">
              <a:extLst>
                <a:ext uri="{FF2B5EF4-FFF2-40B4-BE49-F238E27FC236}">
                  <a16:creationId xmlns:a16="http://schemas.microsoft.com/office/drawing/2014/main" id="{4748B3D3-1B75-4461-B9CC-B70F1524576A}"/>
                </a:ext>
              </a:extLst>
            </xdr:cNvPr>
            <xdr:cNvSpPr/>
          </xdr:nvSpPr>
          <xdr:spPr>
            <a:xfrm>
              <a:off x="460256" y="1282497"/>
              <a:ext cx="134963" cy="2769237"/>
            </a:xfrm>
            <a:prstGeom prst="rect">
              <a:avLst/>
            </a:prstGeom>
            <a:solidFill>
              <a:srgbClr val="00B0F0"/>
            </a:solidFill>
            <a:ln>
              <a:noFill/>
            </a:ln>
          </xdr:spPr>
          <xdr:txBody>
            <a:bodyPr spcFirstLastPara="1" wrap="square" lIns="91425" tIns="45700" rIns="91425" bIns="45700" anchor="ctr" anchorCtr="0">
              <a:noAutofit/>
            </a:bodyPr>
            <a:lstStyle/>
            <a:p>
              <a:pPr marL="0" lvl="0" indent="0" algn="l" rtl="0">
                <a:lnSpc>
                  <a:spcPct val="100000"/>
                </a:lnSpc>
                <a:spcBef>
                  <a:spcPts val="0"/>
                </a:spcBef>
                <a:spcAft>
                  <a:spcPts val="0"/>
                </a:spcAft>
                <a:buNone/>
              </a:pPr>
              <a:endParaRPr sz="1800">
                <a:solidFill>
                  <a:srgbClr val="000000"/>
                </a:solidFill>
              </a:endParaRPr>
            </a:p>
          </xdr:txBody>
        </xdr:sp>
      </xdr:grpSp>
    </xdr:grpSp>
    <xdr:clientData fLocksWithSheet="0"/>
  </xdr:oneCellAnchor>
  <xdr:oneCellAnchor>
    <xdr:from>
      <xdr:col>1</xdr:col>
      <xdr:colOff>228600</xdr:colOff>
      <xdr:row>4</xdr:row>
      <xdr:rowOff>0</xdr:rowOff>
    </xdr:from>
    <xdr:ext cx="5305425" cy="285750"/>
    <xdr:sp macro="" textlink="">
      <xdr:nvSpPr>
        <xdr:cNvPr id="8" name="Shape 8">
          <a:extLst>
            <a:ext uri="{FF2B5EF4-FFF2-40B4-BE49-F238E27FC236}">
              <a16:creationId xmlns:a16="http://schemas.microsoft.com/office/drawing/2014/main" id="{EDB59EFD-8C5C-4C6E-801C-883B14926637}"/>
            </a:ext>
          </a:extLst>
        </xdr:cNvPr>
        <xdr:cNvSpPr/>
      </xdr:nvSpPr>
      <xdr:spPr>
        <a:xfrm>
          <a:off x="480060" y="640080"/>
          <a:ext cx="5305425" cy="285750"/>
        </a:xfrm>
        <a:prstGeom prst="rect">
          <a:avLst/>
        </a:prstGeom>
        <a:noFill/>
        <a:ln>
          <a:noFill/>
        </a:ln>
      </xdr:spPr>
      <xdr:txBody>
        <a:bodyPr spcFirstLastPara="1" wrap="square" lIns="0" tIns="0" rIns="0" bIns="0" anchor="ctr" anchorCtr="0">
          <a:noAutofit/>
        </a:bodyPr>
        <a:lstStyle/>
        <a:p>
          <a:pPr marL="0" lvl="0" indent="0" algn="l" rtl="0">
            <a:spcBef>
              <a:spcPts val="0"/>
            </a:spcBef>
            <a:spcAft>
              <a:spcPts val="0"/>
            </a:spcAft>
            <a:buNone/>
          </a:pPr>
          <a:r>
            <a:rPr lang="en-US" sz="1600" b="1">
              <a:latin typeface="Arial" panose="020B0604020202020204" pitchFamily="34" charset="0"/>
              <a:cs typeface="Arial" panose="020B0604020202020204" pitchFamily="34" charset="0"/>
            </a:rPr>
            <a:t>Gartner for IT Leaders Tool</a:t>
          </a:r>
          <a:endParaRPr sz="1400" b="1">
            <a:latin typeface="Arial" panose="020B0604020202020204" pitchFamily="34" charset="0"/>
            <a:cs typeface="Arial" panose="020B0604020202020204" pitchFamily="34" charset="0"/>
          </a:endParaRPr>
        </a:p>
      </xdr:txBody>
    </xdr:sp>
    <xdr:clientData fLocksWithSheet="0"/>
  </xdr:oneCellAnchor>
  <xdr:oneCellAnchor>
    <xdr:from>
      <xdr:col>1</xdr:col>
      <xdr:colOff>228600</xdr:colOff>
      <xdr:row>6</xdr:row>
      <xdr:rowOff>66675</xdr:rowOff>
    </xdr:from>
    <xdr:ext cx="5305425" cy="1647825"/>
    <xdr:sp macro="" textlink="">
      <xdr:nvSpPr>
        <xdr:cNvPr id="9" name="Shape 9">
          <a:extLst>
            <a:ext uri="{FF2B5EF4-FFF2-40B4-BE49-F238E27FC236}">
              <a16:creationId xmlns:a16="http://schemas.microsoft.com/office/drawing/2014/main" id="{D18268C0-6B3D-4B30-B32F-51499EA55E49}"/>
            </a:ext>
          </a:extLst>
        </xdr:cNvPr>
        <xdr:cNvSpPr/>
      </xdr:nvSpPr>
      <xdr:spPr>
        <a:xfrm>
          <a:off x="480060" y="1026795"/>
          <a:ext cx="5305425" cy="1647825"/>
        </a:xfrm>
        <a:prstGeom prst="rect">
          <a:avLst/>
        </a:prstGeom>
        <a:noFill/>
        <a:ln>
          <a:noFill/>
        </a:ln>
      </xdr:spPr>
      <xdr:txBody>
        <a:bodyPr spcFirstLastPara="1" wrap="square" lIns="0" tIns="0" rIns="0" bIns="0" anchor="ctr" anchorCtr="0">
          <a:noAutofit/>
        </a:bodyPr>
        <a:lstStyle/>
        <a:p>
          <a:pPr marL="0" lvl="0" indent="0" algn="l" rtl="0">
            <a:spcBef>
              <a:spcPts val="0"/>
            </a:spcBef>
            <a:spcAft>
              <a:spcPts val="0"/>
            </a:spcAft>
            <a:buNone/>
          </a:pPr>
          <a:r>
            <a:rPr lang="en-US" sz="2800" b="0" i="0" u="none" strike="noStrike" cap="none">
              <a:solidFill>
                <a:srgbClr val="002856"/>
              </a:solidFill>
              <a:latin typeface="Arial Black"/>
              <a:ea typeface="Arial Black"/>
              <a:cs typeface="Arial Black"/>
              <a:sym typeface="Arial Black"/>
            </a:rPr>
            <a:t>Gartner Use Case Prism Template</a:t>
          </a:r>
          <a:endParaRPr sz="3200"/>
        </a:p>
      </xdr:txBody>
    </xdr:sp>
    <xdr:clientData fLocksWithSheet="0"/>
  </xdr:oneCellAnchor>
  <xdr:oneCellAnchor>
    <xdr:from>
      <xdr:col>1</xdr:col>
      <xdr:colOff>6667500</xdr:colOff>
      <xdr:row>15</xdr:row>
      <xdr:rowOff>76200</xdr:rowOff>
    </xdr:from>
    <xdr:ext cx="1285875" cy="295275"/>
    <xdr:pic>
      <xdr:nvPicPr>
        <xdr:cNvPr id="10" name="image1.png">
          <a:extLst>
            <a:ext uri="{FF2B5EF4-FFF2-40B4-BE49-F238E27FC236}">
              <a16:creationId xmlns:a16="http://schemas.microsoft.com/office/drawing/2014/main" id="{70531FA5-E42E-4A63-AC6B-CE903619543D}"/>
            </a:ext>
          </a:extLst>
        </xdr:cNvPr>
        <xdr:cNvPicPr preferRelativeResize="0"/>
      </xdr:nvPicPr>
      <xdr:blipFill>
        <a:blip xmlns:r="http://schemas.openxmlformats.org/officeDocument/2006/relationships" r:embed="rId1" cstate="print"/>
        <a:stretch>
          <a:fillRect/>
        </a:stretch>
      </xdr:blipFill>
      <xdr:spPr>
        <a:xfrm>
          <a:off x="6918960" y="5836920"/>
          <a:ext cx="1285875" cy="2952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268605</xdr:colOff>
      <xdr:row>1</xdr:row>
      <xdr:rowOff>0</xdr:rowOff>
    </xdr:from>
    <xdr:to>
      <xdr:col>4</xdr:col>
      <xdr:colOff>1905</xdr:colOff>
      <xdr:row>4</xdr:row>
      <xdr:rowOff>17979</xdr:rowOff>
    </xdr:to>
    <xdr:grpSp>
      <xdr:nvGrpSpPr>
        <xdr:cNvPr id="8" name="Group 7">
          <a:extLst>
            <a:ext uri="{FF2B5EF4-FFF2-40B4-BE49-F238E27FC236}">
              <a16:creationId xmlns:a16="http://schemas.microsoft.com/office/drawing/2014/main" id="{00000000-0008-0000-0000-000008000000}"/>
            </a:ext>
          </a:extLst>
        </xdr:cNvPr>
        <xdr:cNvGrpSpPr/>
      </xdr:nvGrpSpPr>
      <xdr:grpSpPr>
        <a:xfrm>
          <a:off x="268605" y="190500"/>
          <a:ext cx="6543675" cy="589479"/>
          <a:chOff x="323850" y="180975"/>
          <a:chExt cx="6954676" cy="600074"/>
        </a:xfrm>
      </xdr:grpSpPr>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323850" y="180975"/>
            <a:ext cx="2434689" cy="600074"/>
          </a:xfrm>
          <a:prstGeom prst="rect">
            <a:avLst/>
          </a:prstGeom>
        </xdr:spPr>
      </xdr:pic>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stretch>
            <a:fillRect/>
          </a:stretch>
        </xdr:blipFill>
        <xdr:spPr>
          <a:xfrm>
            <a:off x="2807970" y="240030"/>
            <a:ext cx="4470556" cy="523875"/>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100965</xdr:colOff>
      <xdr:row>28</xdr:row>
      <xdr:rowOff>81915</xdr:rowOff>
    </xdr:from>
    <xdr:to>
      <xdr:col>9</xdr:col>
      <xdr:colOff>249555</xdr:colOff>
      <xdr:row>35</xdr:row>
      <xdr:rowOff>120015</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9559290" y="6339840"/>
          <a:ext cx="862965" cy="1304925"/>
        </a:xfrm>
        <a:prstGeom prst="wedgeRectCallout">
          <a:avLst>
            <a:gd name="adj1" fmla="val -95898"/>
            <a:gd name="adj2" fmla="val 48085"/>
          </a:avLst>
        </a:prstGeom>
        <a:solidFill>
          <a:schemeClr val="accent1">
            <a:lumMod val="40000"/>
            <a:lumOff val="6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Fill in details here along with the pipeline process</a:t>
          </a:r>
        </a:p>
      </xdr:txBody>
    </xdr:sp>
    <xdr:clientData/>
  </xdr:twoCellAnchor>
  <xdr:twoCellAnchor>
    <xdr:from>
      <xdr:col>6</xdr:col>
      <xdr:colOff>167639</xdr:colOff>
      <xdr:row>0</xdr:row>
      <xdr:rowOff>152401</xdr:rowOff>
    </xdr:from>
    <xdr:to>
      <xdr:col>11</xdr:col>
      <xdr:colOff>695324</xdr:colOff>
      <xdr:row>3</xdr:row>
      <xdr:rowOff>177166</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9292589" y="152401"/>
          <a:ext cx="2080260" cy="567690"/>
        </a:xfrm>
        <a:prstGeom prst="wedgeRectCallout">
          <a:avLst>
            <a:gd name="adj1" fmla="val -55670"/>
            <a:gd name="adj2" fmla="val 153759"/>
          </a:avLst>
        </a:prstGeom>
        <a:solidFill>
          <a:schemeClr val="accent1">
            <a:lumMod val="40000"/>
            <a:lumOff val="6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One</a:t>
          </a:r>
          <a:r>
            <a:rPr lang="en-US" sz="1100" b="0" baseline="0"/>
            <a:t> or two line description of the use case (max. 300 char)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0</xdr:colOff>
      <xdr:row>0</xdr:row>
      <xdr:rowOff>45720</xdr:rowOff>
    </xdr:from>
    <xdr:to>
      <xdr:col>18</xdr:col>
      <xdr:colOff>91440</xdr:colOff>
      <xdr:row>3</xdr:row>
      <xdr:rowOff>76200</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11826240" y="45720"/>
          <a:ext cx="1638300" cy="670560"/>
        </a:xfrm>
        <a:prstGeom prst="wedgeRectCallout">
          <a:avLst>
            <a:gd name="adj1" fmla="val -93546"/>
            <a:gd name="adj2" fmla="val 67977"/>
          </a:avLst>
        </a:prstGeom>
        <a:solidFill>
          <a:schemeClr val="accent1">
            <a:lumMod val="40000"/>
            <a:lumOff val="6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Values are rounded off to nearest</a:t>
          </a:r>
          <a:r>
            <a:rPr lang="en-US" sz="1100" b="0" baseline="0"/>
            <a:t> one decimal place</a:t>
          </a:r>
        </a:p>
      </xdr:txBody>
    </xdr:sp>
    <xdr:clientData/>
  </xdr:twoCellAnchor>
  <mc:AlternateContent xmlns:mc="http://schemas.openxmlformats.org/markup-compatibility/2006">
    <mc:Choice xmlns:a14="http://schemas.microsoft.com/office/drawing/2010/main" Requires="a14">
      <xdr:twoCellAnchor editAs="oneCell">
        <xdr:from>
          <xdr:col>24</xdr:col>
          <xdr:colOff>164014</xdr:colOff>
          <xdr:row>13</xdr:row>
          <xdr:rowOff>73237</xdr:rowOff>
        </xdr:from>
        <xdr:to>
          <xdr:col>42</xdr:col>
          <xdr:colOff>937022</xdr:colOff>
          <xdr:row>52</xdr:row>
          <xdr:rowOff>58418</xdr:rowOff>
        </xdr:to>
        <xdr:pic>
          <xdr:nvPicPr>
            <xdr:cNvPr id="4" name="Picture 3">
              <a:extLst>
                <a:ext uri="{FF2B5EF4-FFF2-40B4-BE49-F238E27FC236}">
                  <a16:creationId xmlns:a16="http://schemas.microsoft.com/office/drawing/2014/main" id="{00000000-0008-0000-0200-000004000000}"/>
                </a:ext>
              </a:extLst>
            </xdr:cNvPr>
            <xdr:cNvPicPr>
              <a:picLocks noChangeAspect="1" noChangeArrowheads="1"/>
              <a:extLst>
                <a:ext uri="{84589F7E-364E-4C9E-8A38-B11213B215E9}">
                  <a14:cameraTool cellRange="Sandbox!$T$5:$AP$43" spid="_x0000_s1384"/>
                </a:ext>
              </a:extLst>
            </xdr:cNvPicPr>
          </xdr:nvPicPr>
          <xdr:blipFill>
            <a:blip xmlns:r="http://schemas.openxmlformats.org/officeDocument/2006/relationships" r:embed="rId1"/>
            <a:srcRect/>
            <a:stretch>
              <a:fillRect/>
            </a:stretch>
          </xdr:blipFill>
          <xdr:spPr bwMode="auto">
            <a:xfrm>
              <a:off x="17298431" y="2528570"/>
              <a:ext cx="12897698" cy="782362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1</xdr:col>
      <xdr:colOff>24765</xdr:colOff>
      <xdr:row>2</xdr:row>
      <xdr:rowOff>34290</xdr:rowOff>
    </xdr:from>
    <xdr:to>
      <xdr:col>2</xdr:col>
      <xdr:colOff>1102995</xdr:colOff>
      <xdr:row>4</xdr:row>
      <xdr:rowOff>287655</xdr:rowOff>
    </xdr:to>
    <xdr:pic>
      <xdr:nvPicPr>
        <xdr:cNvPr id="2" name="Picture 1" descr="Triskell Software named Representative Vendor in Gartner's 2019 ...">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8590" y="396240"/>
          <a:ext cx="1306830" cy="672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47625</xdr:colOff>
      <xdr:row>3</xdr:row>
      <xdr:rowOff>9526</xdr:rowOff>
    </xdr:from>
    <xdr:to>
      <xdr:col>26</xdr:col>
      <xdr:colOff>478149</xdr:colOff>
      <xdr:row>8</xdr:row>
      <xdr:rowOff>19050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13477875" y="552451"/>
          <a:ext cx="1032504" cy="12191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19</xdr:col>
      <xdr:colOff>53340</xdr:colOff>
      <xdr:row>1</xdr:row>
      <xdr:rowOff>15240</xdr:rowOff>
    </xdr:from>
    <xdr:to>
      <xdr:col>37</xdr:col>
      <xdr:colOff>99060</xdr:colOff>
      <xdr:row>4</xdr:row>
      <xdr:rowOff>99060</xdr:rowOff>
    </xdr:to>
    <xdr:sp macro="" textlink="'Step 1 - Fill in Details'!C34">
      <xdr:nvSpPr>
        <xdr:cNvPr id="2" name="TextBox 1">
          <a:extLst>
            <a:ext uri="{FF2B5EF4-FFF2-40B4-BE49-F238E27FC236}">
              <a16:creationId xmlns:a16="http://schemas.microsoft.com/office/drawing/2014/main" id="{00000000-0008-0000-0300-000002000000}"/>
            </a:ext>
          </a:extLst>
        </xdr:cNvPr>
        <xdr:cNvSpPr txBox="1"/>
      </xdr:nvSpPr>
      <xdr:spPr>
        <a:xfrm>
          <a:off x="3451860" y="129540"/>
          <a:ext cx="1965960" cy="426720"/>
        </a:xfrm>
        <a:prstGeom prst="chevron">
          <a:avLst/>
        </a:prstGeom>
        <a:solidFill>
          <a:srgbClr val="073763"/>
        </a:solidFill>
        <a:ln w="9525" cmpd="sng">
          <a:solidFill>
            <a:schemeClr val="accent2">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3D141E-A92D-49EC-9783-151F450C411E}" type="TxLink">
            <a:rPr lang="en-US" sz="1000" b="0" i="0" u="none" strike="noStrike">
              <a:solidFill>
                <a:schemeClr val="bg1"/>
              </a:solidFill>
              <a:latin typeface="Arial"/>
              <a:cs typeface="Arial"/>
            </a:rPr>
            <a:pPr algn="ctr"/>
            <a:t>Example pipeline item</a:t>
          </a:fld>
          <a:endParaRPr lang="en-US" sz="1100" b="1">
            <a:solidFill>
              <a:schemeClr val="bg1"/>
            </a:solidFill>
          </a:endParaRPr>
        </a:p>
      </xdr:txBody>
    </xdr:sp>
    <xdr:clientData/>
  </xdr:twoCellAnchor>
  <xdr:twoCellAnchor>
    <xdr:from>
      <xdr:col>38</xdr:col>
      <xdr:colOff>22860</xdr:colOff>
      <xdr:row>1</xdr:row>
      <xdr:rowOff>15240</xdr:rowOff>
    </xdr:from>
    <xdr:to>
      <xdr:col>56</xdr:col>
      <xdr:colOff>68580</xdr:colOff>
      <xdr:row>4</xdr:row>
      <xdr:rowOff>99060</xdr:rowOff>
    </xdr:to>
    <xdr:sp macro="" textlink="'Step 1 - Fill in Details'!C35">
      <xdr:nvSpPr>
        <xdr:cNvPr id="3" name="TextBox 2">
          <a:extLst>
            <a:ext uri="{FF2B5EF4-FFF2-40B4-BE49-F238E27FC236}">
              <a16:creationId xmlns:a16="http://schemas.microsoft.com/office/drawing/2014/main" id="{00000000-0008-0000-0300-000003000000}"/>
            </a:ext>
          </a:extLst>
        </xdr:cNvPr>
        <xdr:cNvSpPr txBox="1"/>
      </xdr:nvSpPr>
      <xdr:spPr>
        <a:xfrm>
          <a:off x="5448300" y="129540"/>
          <a:ext cx="1965960" cy="426720"/>
        </a:xfrm>
        <a:prstGeom prst="chevron">
          <a:avLst/>
        </a:prstGeom>
        <a:solidFill>
          <a:srgbClr val="073763"/>
        </a:solidFill>
        <a:ln w="9525" cmpd="sng">
          <a:solidFill>
            <a:schemeClr val="accent4">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49972F-75B1-4DB5-A080-CBD113A6EA18}" type="TxLink">
            <a:rPr lang="en-US" sz="1000" b="0" i="0" u="none" strike="noStrike">
              <a:solidFill>
                <a:schemeClr val="bg1"/>
              </a:solidFill>
              <a:latin typeface="Arial"/>
              <a:cs typeface="Arial"/>
            </a:rPr>
            <a:pPr algn="ctr"/>
            <a:t>Pipeline Item #2</a:t>
          </a:fld>
          <a:endParaRPr lang="en-US" sz="1100" b="1">
            <a:solidFill>
              <a:schemeClr val="bg1"/>
            </a:solidFill>
          </a:endParaRPr>
        </a:p>
      </xdr:txBody>
    </xdr:sp>
    <xdr:clientData/>
  </xdr:twoCellAnchor>
  <xdr:twoCellAnchor>
    <xdr:from>
      <xdr:col>56</xdr:col>
      <xdr:colOff>45720</xdr:colOff>
      <xdr:row>1</xdr:row>
      <xdr:rowOff>15240</xdr:rowOff>
    </xdr:from>
    <xdr:to>
      <xdr:col>74</xdr:col>
      <xdr:colOff>91440</xdr:colOff>
      <xdr:row>4</xdr:row>
      <xdr:rowOff>99060</xdr:rowOff>
    </xdr:to>
    <xdr:sp macro="" textlink="'Step 1 - Fill in Details'!C36">
      <xdr:nvSpPr>
        <xdr:cNvPr id="4" name="TextBox 3">
          <a:extLst>
            <a:ext uri="{FF2B5EF4-FFF2-40B4-BE49-F238E27FC236}">
              <a16:creationId xmlns:a16="http://schemas.microsoft.com/office/drawing/2014/main" id="{00000000-0008-0000-0300-000004000000}"/>
            </a:ext>
          </a:extLst>
        </xdr:cNvPr>
        <xdr:cNvSpPr txBox="1"/>
      </xdr:nvSpPr>
      <xdr:spPr>
        <a:xfrm>
          <a:off x="7391400" y="129540"/>
          <a:ext cx="1965960" cy="426720"/>
        </a:xfrm>
        <a:prstGeom prst="chevron">
          <a:avLst/>
        </a:prstGeom>
        <a:solidFill>
          <a:srgbClr val="073763"/>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DE58BD-F6E4-47E5-B499-495101BB1593}" type="TxLink">
            <a:rPr lang="en-US" sz="1000" b="0" i="0" u="none" strike="noStrike">
              <a:solidFill>
                <a:schemeClr val="bg1"/>
              </a:solidFill>
              <a:latin typeface="Arial"/>
              <a:cs typeface="Arial"/>
            </a:rPr>
            <a:pPr algn="ctr"/>
            <a:t>Pipeline Item #3</a:t>
          </a:fld>
          <a:endParaRPr lang="en-US" sz="1100" b="1">
            <a:solidFill>
              <a:schemeClr val="bg1"/>
            </a:solidFill>
          </a:endParaRPr>
        </a:p>
      </xdr:txBody>
    </xdr:sp>
    <xdr:clientData/>
  </xdr:twoCellAnchor>
  <xdr:twoCellAnchor>
    <xdr:from>
      <xdr:col>74</xdr:col>
      <xdr:colOff>91440</xdr:colOff>
      <xdr:row>1</xdr:row>
      <xdr:rowOff>7620</xdr:rowOff>
    </xdr:from>
    <xdr:to>
      <xdr:col>93</xdr:col>
      <xdr:colOff>30480</xdr:colOff>
      <xdr:row>4</xdr:row>
      <xdr:rowOff>91440</xdr:rowOff>
    </xdr:to>
    <xdr:sp macro="" textlink="'Step 1 - Fill in Details'!C37">
      <xdr:nvSpPr>
        <xdr:cNvPr id="5" name="TextBox 4">
          <a:extLst>
            <a:ext uri="{FF2B5EF4-FFF2-40B4-BE49-F238E27FC236}">
              <a16:creationId xmlns:a16="http://schemas.microsoft.com/office/drawing/2014/main" id="{00000000-0008-0000-0300-000005000000}"/>
            </a:ext>
          </a:extLst>
        </xdr:cNvPr>
        <xdr:cNvSpPr txBox="1"/>
      </xdr:nvSpPr>
      <xdr:spPr>
        <a:xfrm>
          <a:off x="9357360" y="121920"/>
          <a:ext cx="1965960" cy="426720"/>
        </a:xfrm>
        <a:prstGeom prst="chevron">
          <a:avLst/>
        </a:prstGeom>
        <a:solidFill>
          <a:srgbClr val="073763"/>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F025BB-5728-4B2B-953B-72E0E18ABD71}" type="TxLink">
            <a:rPr lang="en-US" sz="1000" b="0" i="0" u="none" strike="noStrike">
              <a:solidFill>
                <a:schemeClr val="bg1"/>
              </a:solidFill>
              <a:latin typeface="Arial"/>
              <a:cs typeface="Arial"/>
            </a:rPr>
            <a:pPr algn="ctr"/>
            <a:t>Pipeline Item #4</a:t>
          </a:fld>
          <a:endParaRPr lang="en-US" sz="1100" b="1">
            <a:solidFill>
              <a:schemeClr val="bg1"/>
            </a:solidFill>
          </a:endParaRPr>
        </a:p>
      </xdr:txBody>
    </xdr:sp>
    <xdr:clientData/>
  </xdr:twoCellAnchor>
  <xdr:twoCellAnchor>
    <xdr:from>
      <xdr:col>21</xdr:col>
      <xdr:colOff>45720</xdr:colOff>
      <xdr:row>8</xdr:row>
      <xdr:rowOff>0</xdr:rowOff>
    </xdr:from>
    <xdr:to>
      <xdr:col>37</xdr:col>
      <xdr:colOff>53340</xdr:colOff>
      <xdr:row>8</xdr:row>
      <xdr:rowOff>7620</xdr:rowOff>
    </xdr:to>
    <xdr:cxnSp macro="">
      <xdr:nvCxnSpPr>
        <xdr:cNvPr id="7" name="Straight Arrow Connector 6">
          <a:extLst>
            <a:ext uri="{FF2B5EF4-FFF2-40B4-BE49-F238E27FC236}">
              <a16:creationId xmlns:a16="http://schemas.microsoft.com/office/drawing/2014/main" id="{00000000-0008-0000-0300-000007000000}"/>
            </a:ext>
          </a:extLst>
        </xdr:cNvPr>
        <xdr:cNvCxnSpPr/>
      </xdr:nvCxnSpPr>
      <xdr:spPr>
        <a:xfrm flipV="1">
          <a:off x="3657600" y="914400"/>
          <a:ext cx="1714500" cy="7620"/>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38100</xdr:colOff>
      <xdr:row>9</xdr:row>
      <xdr:rowOff>190500</xdr:rowOff>
    </xdr:from>
    <xdr:to>
      <xdr:col>56</xdr:col>
      <xdr:colOff>68580</xdr:colOff>
      <xdr:row>10</xdr:row>
      <xdr:rowOff>0</xdr:rowOff>
    </xdr:to>
    <xdr:cxnSp macro="">
      <xdr:nvCxnSpPr>
        <xdr:cNvPr id="8" name="Straight Arrow Connector 7">
          <a:extLst>
            <a:ext uri="{FF2B5EF4-FFF2-40B4-BE49-F238E27FC236}">
              <a16:creationId xmlns:a16="http://schemas.microsoft.com/office/drawing/2014/main" id="{00000000-0008-0000-0300-000008000000}"/>
            </a:ext>
          </a:extLst>
        </xdr:cNvPr>
        <xdr:cNvCxnSpPr/>
      </xdr:nvCxnSpPr>
      <xdr:spPr>
        <a:xfrm flipV="1">
          <a:off x="5250180" y="1402080"/>
          <a:ext cx="2164080" cy="15240"/>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0</xdr:colOff>
      <xdr:row>58</xdr:row>
      <xdr:rowOff>7620</xdr:rowOff>
    </xdr:from>
    <xdr:to>
      <xdr:col>34</xdr:col>
      <xdr:colOff>45720</xdr:colOff>
      <xdr:row>61</xdr:row>
      <xdr:rowOff>91440</xdr:rowOff>
    </xdr:to>
    <xdr:sp macro="" textlink="'Step 1 - Fill in Details'!C34">
      <xdr:nvSpPr>
        <xdr:cNvPr id="9" name="TextBox 8">
          <a:extLst>
            <a:ext uri="{FF2B5EF4-FFF2-40B4-BE49-F238E27FC236}">
              <a16:creationId xmlns:a16="http://schemas.microsoft.com/office/drawing/2014/main" id="{00000000-0008-0000-0300-000009000000}"/>
            </a:ext>
          </a:extLst>
        </xdr:cNvPr>
        <xdr:cNvSpPr txBox="1"/>
      </xdr:nvSpPr>
      <xdr:spPr>
        <a:xfrm>
          <a:off x="3009900" y="10923270"/>
          <a:ext cx="1931670" cy="426720"/>
        </a:xfrm>
        <a:prstGeom prst="chevron">
          <a:avLst/>
        </a:prstGeom>
        <a:solidFill>
          <a:schemeClr val="accent2">
            <a:lumMod val="40000"/>
            <a:lumOff val="60000"/>
          </a:schemeClr>
        </a:solidFill>
        <a:ln w="9525" cmpd="sng">
          <a:solidFill>
            <a:schemeClr val="accent2">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3D141E-A92D-49EC-9783-151F450C411E}" type="TxLink">
            <a:rPr lang="en-US" sz="1000" b="0" i="0" u="none" strike="noStrike">
              <a:solidFill>
                <a:srgbClr val="000000"/>
              </a:solidFill>
              <a:latin typeface="Arial"/>
              <a:cs typeface="Arial"/>
            </a:rPr>
            <a:pPr algn="ctr"/>
            <a:t>Example pipeline item</a:t>
          </a:fld>
          <a:endParaRPr lang="en-US" sz="1100" b="1"/>
        </a:p>
      </xdr:txBody>
    </xdr:sp>
    <xdr:clientData/>
  </xdr:twoCellAnchor>
  <xdr:twoCellAnchor>
    <xdr:from>
      <xdr:col>34</xdr:col>
      <xdr:colOff>74295</xdr:colOff>
      <xdr:row>58</xdr:row>
      <xdr:rowOff>7620</xdr:rowOff>
    </xdr:from>
    <xdr:to>
      <xdr:col>53</xdr:col>
      <xdr:colOff>15240</xdr:colOff>
      <xdr:row>61</xdr:row>
      <xdr:rowOff>91440</xdr:rowOff>
    </xdr:to>
    <xdr:sp macro="" textlink="'Step 1 - Fill in Details'!C35">
      <xdr:nvSpPr>
        <xdr:cNvPr id="10" name="TextBox 9">
          <a:extLst>
            <a:ext uri="{FF2B5EF4-FFF2-40B4-BE49-F238E27FC236}">
              <a16:creationId xmlns:a16="http://schemas.microsoft.com/office/drawing/2014/main" id="{00000000-0008-0000-0300-00000A000000}"/>
            </a:ext>
          </a:extLst>
        </xdr:cNvPr>
        <xdr:cNvSpPr txBox="1"/>
      </xdr:nvSpPr>
      <xdr:spPr>
        <a:xfrm>
          <a:off x="4970145" y="10923270"/>
          <a:ext cx="1931670" cy="426720"/>
        </a:xfrm>
        <a:prstGeom prst="chevron">
          <a:avLst/>
        </a:prstGeom>
        <a:solidFill>
          <a:schemeClr val="accent4">
            <a:lumMod val="40000"/>
            <a:lumOff val="60000"/>
          </a:schemeClr>
        </a:solidFill>
        <a:ln w="9525" cmpd="sng">
          <a:solidFill>
            <a:schemeClr val="accent4">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49972F-75B1-4DB5-A080-CBD113A6EA18}" type="TxLink">
            <a:rPr lang="en-US" sz="1000" b="0" i="0" u="none" strike="noStrike">
              <a:solidFill>
                <a:srgbClr val="000000"/>
              </a:solidFill>
              <a:latin typeface="Arial"/>
              <a:cs typeface="Arial"/>
            </a:rPr>
            <a:pPr algn="ctr"/>
            <a:t>Pipeline Item #2</a:t>
          </a:fld>
          <a:endParaRPr lang="en-US" sz="1100" b="1"/>
        </a:p>
      </xdr:txBody>
    </xdr:sp>
    <xdr:clientData/>
  </xdr:twoCellAnchor>
  <xdr:twoCellAnchor>
    <xdr:from>
      <xdr:col>52</xdr:col>
      <xdr:colOff>97155</xdr:colOff>
      <xdr:row>58</xdr:row>
      <xdr:rowOff>7620</xdr:rowOff>
    </xdr:from>
    <xdr:to>
      <xdr:col>71</xdr:col>
      <xdr:colOff>38100</xdr:colOff>
      <xdr:row>61</xdr:row>
      <xdr:rowOff>91440</xdr:rowOff>
    </xdr:to>
    <xdr:sp macro="" textlink="'Step 1 - Fill in Details'!C36">
      <xdr:nvSpPr>
        <xdr:cNvPr id="11" name="TextBox 10">
          <a:extLst>
            <a:ext uri="{FF2B5EF4-FFF2-40B4-BE49-F238E27FC236}">
              <a16:creationId xmlns:a16="http://schemas.microsoft.com/office/drawing/2014/main" id="{00000000-0008-0000-0300-00000B000000}"/>
            </a:ext>
          </a:extLst>
        </xdr:cNvPr>
        <xdr:cNvSpPr txBox="1"/>
      </xdr:nvSpPr>
      <xdr:spPr>
        <a:xfrm>
          <a:off x="6878955" y="10923270"/>
          <a:ext cx="1931670" cy="426720"/>
        </a:xfrm>
        <a:prstGeom prst="chevron">
          <a:avLst/>
        </a:prstGeom>
        <a:solidFill>
          <a:schemeClr val="accent5">
            <a:lumMod val="60000"/>
            <a:lumOff val="4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DE58BD-F6E4-47E5-B499-495101BB1593}" type="TxLink">
            <a:rPr lang="en-US" sz="1000" b="0" i="0" u="none" strike="noStrike">
              <a:solidFill>
                <a:srgbClr val="000000"/>
              </a:solidFill>
              <a:latin typeface="Arial"/>
              <a:cs typeface="Arial"/>
            </a:rPr>
            <a:pPr algn="ctr"/>
            <a:t>Pipeline Item #3</a:t>
          </a:fld>
          <a:endParaRPr lang="en-US" sz="1100" b="1"/>
        </a:p>
      </xdr:txBody>
    </xdr:sp>
    <xdr:clientData/>
  </xdr:twoCellAnchor>
  <xdr:twoCellAnchor>
    <xdr:from>
      <xdr:col>71</xdr:col>
      <xdr:colOff>38100</xdr:colOff>
      <xdr:row>58</xdr:row>
      <xdr:rowOff>0</xdr:rowOff>
    </xdr:from>
    <xdr:to>
      <xdr:col>89</xdr:col>
      <xdr:colOff>81915</xdr:colOff>
      <xdr:row>61</xdr:row>
      <xdr:rowOff>83820</xdr:rowOff>
    </xdr:to>
    <xdr:sp macro="" textlink="'Step 1 - Fill in Details'!C37">
      <xdr:nvSpPr>
        <xdr:cNvPr id="12" name="TextBox 11">
          <a:extLst>
            <a:ext uri="{FF2B5EF4-FFF2-40B4-BE49-F238E27FC236}">
              <a16:creationId xmlns:a16="http://schemas.microsoft.com/office/drawing/2014/main" id="{00000000-0008-0000-0300-00000C000000}"/>
            </a:ext>
          </a:extLst>
        </xdr:cNvPr>
        <xdr:cNvSpPr txBox="1"/>
      </xdr:nvSpPr>
      <xdr:spPr>
        <a:xfrm>
          <a:off x="8810625" y="10915650"/>
          <a:ext cx="1929765" cy="426720"/>
        </a:xfrm>
        <a:prstGeom prst="chevron">
          <a:avLst/>
        </a:prstGeom>
        <a:solidFill>
          <a:schemeClr val="accent6">
            <a:lumMod val="60000"/>
            <a:lumOff val="4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F025BB-5728-4B2B-953B-72E0E18ABD71}" type="TxLink">
            <a:rPr lang="en-US" sz="1000" b="0" i="0" u="none" strike="noStrike">
              <a:solidFill>
                <a:srgbClr val="000000"/>
              </a:solidFill>
              <a:latin typeface="Arial"/>
              <a:cs typeface="Arial"/>
            </a:rPr>
            <a:pPr algn="ctr"/>
            <a:t>Pipeline Item #4</a:t>
          </a:fld>
          <a:endParaRPr lang="en-US" sz="1100" b="1"/>
        </a:p>
      </xdr:txBody>
    </xdr:sp>
    <xdr:clientData/>
  </xdr:twoCellAnchor>
  <xdr:twoCellAnchor>
    <xdr:from>
      <xdr:col>92</xdr:col>
      <xdr:colOff>95250</xdr:colOff>
      <xdr:row>0</xdr:row>
      <xdr:rowOff>116416</xdr:rowOff>
    </xdr:from>
    <xdr:to>
      <xdr:col>111</xdr:col>
      <xdr:colOff>28575</xdr:colOff>
      <xdr:row>4</xdr:row>
      <xdr:rowOff>89534</xdr:rowOff>
    </xdr:to>
    <xdr:sp macro="" textlink="'Step 1 - Fill in Details'!C38">
      <xdr:nvSpPr>
        <xdr:cNvPr id="13" name="TextBox 12">
          <a:extLst>
            <a:ext uri="{FF2B5EF4-FFF2-40B4-BE49-F238E27FC236}">
              <a16:creationId xmlns:a16="http://schemas.microsoft.com/office/drawing/2014/main" id="{00000000-0008-0000-0300-00000D000000}"/>
            </a:ext>
          </a:extLst>
        </xdr:cNvPr>
        <xdr:cNvSpPr txBox="1"/>
      </xdr:nvSpPr>
      <xdr:spPr>
        <a:xfrm>
          <a:off x="11207750" y="116416"/>
          <a:ext cx="1944158" cy="438785"/>
        </a:xfrm>
        <a:prstGeom prst="chevron">
          <a:avLst/>
        </a:prstGeom>
        <a:solidFill>
          <a:srgbClr val="073763"/>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D98F32-1AA9-4931-823A-3EDB7A13E7EA}" type="TxLink">
            <a:rPr lang="en-US" sz="1000" b="0" i="0" u="none" strike="noStrike">
              <a:solidFill>
                <a:schemeClr val="bg1"/>
              </a:solidFill>
              <a:latin typeface="Calibri "/>
              <a:cs typeface="Arial"/>
            </a:rPr>
            <a:pPr algn="ctr"/>
            <a:t>Pipeline Item #5</a:t>
          </a:fld>
          <a:endParaRPr lang="en-US" sz="1100" b="1">
            <a:solidFill>
              <a:schemeClr val="bg1"/>
            </a:solidFill>
          </a:endParaRPr>
        </a:p>
      </xdr:txBody>
    </xdr:sp>
    <xdr:clientData/>
  </xdr:twoCellAnchor>
  <xdr:twoCellAnchor>
    <xdr:from>
      <xdr:col>111</xdr:col>
      <xdr:colOff>6774</xdr:colOff>
      <xdr:row>1</xdr:row>
      <xdr:rowOff>10582</xdr:rowOff>
    </xdr:from>
    <xdr:to>
      <xdr:col>129</xdr:col>
      <xdr:colOff>47837</xdr:colOff>
      <xdr:row>4</xdr:row>
      <xdr:rowOff>98212</xdr:rowOff>
    </xdr:to>
    <xdr:sp macro="" textlink="'Step 1 - Fill in Details'!C39">
      <xdr:nvSpPr>
        <xdr:cNvPr id="14" name="TextBox 13">
          <a:extLst>
            <a:ext uri="{FF2B5EF4-FFF2-40B4-BE49-F238E27FC236}">
              <a16:creationId xmlns:a16="http://schemas.microsoft.com/office/drawing/2014/main" id="{00000000-0008-0000-0300-00000E000000}"/>
            </a:ext>
          </a:extLst>
        </xdr:cNvPr>
        <xdr:cNvSpPr txBox="1"/>
      </xdr:nvSpPr>
      <xdr:spPr>
        <a:xfrm>
          <a:off x="13130107" y="126999"/>
          <a:ext cx="1946063" cy="436880"/>
        </a:xfrm>
        <a:prstGeom prst="chevron">
          <a:avLst/>
        </a:prstGeom>
        <a:solidFill>
          <a:srgbClr val="073763"/>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18A240-AE4E-47F5-B661-EA8D8C0C8151}" type="TxLink">
            <a:rPr lang="en-US" sz="1000" b="0" i="0" u="none" strike="noStrike">
              <a:solidFill>
                <a:schemeClr val="bg1"/>
              </a:solidFill>
              <a:latin typeface="Calibri "/>
              <a:cs typeface="Arial"/>
            </a:rPr>
            <a:pPr algn="ctr"/>
            <a:t>Pipeline Item #6</a:t>
          </a:fld>
          <a:endParaRPr lang="en-US" sz="1100" b="1">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21</xdr:col>
          <xdr:colOff>266700</xdr:colOff>
          <xdr:row>42</xdr:row>
          <xdr:rowOff>95250</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a:extLst>
                <a:ext uri="{84589F7E-364E-4C9E-8A38-B11213B215E9}">
                  <a14:cameraTool cellRange="Sandbox!$T$5:$AP$44" spid="_x0000_s15644"/>
                </a:ext>
              </a:extLst>
            </xdr:cNvPicPr>
          </xdr:nvPicPr>
          <xdr:blipFill>
            <a:blip xmlns:r="http://schemas.openxmlformats.org/officeDocument/2006/relationships" r:embed="rId1"/>
            <a:srcRect/>
            <a:stretch>
              <a:fillRect/>
            </a:stretch>
          </xdr:blipFill>
          <xdr:spPr bwMode="auto">
            <a:xfrm>
              <a:off x="0" y="0"/>
              <a:ext cx="13068300" cy="80962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180974</xdr:colOff>
      <xdr:row>1</xdr:row>
      <xdr:rowOff>9525</xdr:rowOff>
    </xdr:from>
    <xdr:to>
      <xdr:col>23</xdr:col>
      <xdr:colOff>95249</xdr:colOff>
      <xdr:row>2</xdr:row>
      <xdr:rowOff>95250</xdr:rowOff>
    </xdr:to>
    <xdr:sp macro="" textlink="'Step 1 - Fill in Details'!C7">
      <xdr:nvSpPr>
        <xdr:cNvPr id="2" name="TextBox 1">
          <a:extLst>
            <a:ext uri="{FF2B5EF4-FFF2-40B4-BE49-F238E27FC236}">
              <a16:creationId xmlns:a16="http://schemas.microsoft.com/office/drawing/2014/main" id="{00000000-0008-0000-0500-000002000000}"/>
            </a:ext>
          </a:extLst>
        </xdr:cNvPr>
        <xdr:cNvSpPr txBox="1"/>
      </xdr:nvSpPr>
      <xdr:spPr>
        <a:xfrm>
          <a:off x="11763374" y="200025"/>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C53D2682-82B6-4B8E-AFAF-7D0790778B2F}" type="TxLink">
            <a:rPr lang="en-US" sz="900" b="1" i="0" u="none" strike="noStrike">
              <a:solidFill>
                <a:srgbClr val="000000"/>
              </a:solidFill>
              <a:latin typeface="Calibri "/>
            </a:rPr>
            <a:pPr algn="ctr"/>
            <a:t>Example Use Case 1</a:t>
          </a:fld>
          <a:endParaRPr lang="en-US" sz="1100"/>
        </a:p>
      </xdr:txBody>
    </xdr:sp>
    <xdr:clientData/>
  </xdr:twoCellAnchor>
  <xdr:twoCellAnchor>
    <xdr:from>
      <xdr:col>19</xdr:col>
      <xdr:colOff>180974</xdr:colOff>
      <xdr:row>3</xdr:row>
      <xdr:rowOff>45244</xdr:rowOff>
    </xdr:from>
    <xdr:to>
      <xdr:col>23</xdr:col>
      <xdr:colOff>95249</xdr:colOff>
      <xdr:row>4</xdr:row>
      <xdr:rowOff>130969</xdr:rowOff>
    </xdr:to>
    <xdr:sp macro="" textlink="'Step 1 - Fill in Details'!C8">
      <xdr:nvSpPr>
        <xdr:cNvPr id="4" name="TextBox 3">
          <a:extLst>
            <a:ext uri="{FF2B5EF4-FFF2-40B4-BE49-F238E27FC236}">
              <a16:creationId xmlns:a16="http://schemas.microsoft.com/office/drawing/2014/main" id="{00000000-0008-0000-0500-000004000000}"/>
            </a:ext>
          </a:extLst>
        </xdr:cNvPr>
        <xdr:cNvSpPr txBox="1"/>
      </xdr:nvSpPr>
      <xdr:spPr>
        <a:xfrm>
          <a:off x="11763374" y="616744"/>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FFDB3B6D-7941-4BD5-818F-C003413A0342}" type="TxLink">
            <a:rPr lang="en-US" sz="900" b="1" i="0" u="none" strike="noStrike">
              <a:solidFill>
                <a:srgbClr val="000000"/>
              </a:solidFill>
              <a:latin typeface="Calibri "/>
            </a:rPr>
            <a:pPr algn="ctr"/>
            <a:t>Example Use Case 2</a:t>
          </a:fld>
          <a:endParaRPr lang="en-US" sz="1100"/>
        </a:p>
      </xdr:txBody>
    </xdr:sp>
    <xdr:clientData/>
  </xdr:twoCellAnchor>
  <xdr:twoCellAnchor>
    <xdr:from>
      <xdr:col>19</xdr:col>
      <xdr:colOff>180974</xdr:colOff>
      <xdr:row>5</xdr:row>
      <xdr:rowOff>80963</xdr:rowOff>
    </xdr:from>
    <xdr:to>
      <xdr:col>23</xdr:col>
      <xdr:colOff>95249</xdr:colOff>
      <xdr:row>6</xdr:row>
      <xdr:rowOff>166688</xdr:rowOff>
    </xdr:to>
    <xdr:sp macro="" textlink="'Step 1 - Fill in Details'!C9">
      <xdr:nvSpPr>
        <xdr:cNvPr id="5" name="TextBox 4">
          <a:extLst>
            <a:ext uri="{FF2B5EF4-FFF2-40B4-BE49-F238E27FC236}">
              <a16:creationId xmlns:a16="http://schemas.microsoft.com/office/drawing/2014/main" id="{00000000-0008-0000-0500-000005000000}"/>
            </a:ext>
          </a:extLst>
        </xdr:cNvPr>
        <xdr:cNvSpPr txBox="1"/>
      </xdr:nvSpPr>
      <xdr:spPr>
        <a:xfrm>
          <a:off x="11763374" y="1033463"/>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87193B47-8FF5-4775-BCD2-CA3CD695EB7B}" type="TxLink">
            <a:rPr lang="en-US" sz="900" b="1" i="0" u="none" strike="noStrike">
              <a:solidFill>
                <a:srgbClr val="000000"/>
              </a:solidFill>
              <a:latin typeface="Calibri "/>
            </a:rPr>
            <a:pPr algn="ctr"/>
            <a:t>UC3</a:t>
          </a:fld>
          <a:endParaRPr lang="en-US" sz="1100"/>
        </a:p>
      </xdr:txBody>
    </xdr:sp>
    <xdr:clientData/>
  </xdr:twoCellAnchor>
  <xdr:twoCellAnchor>
    <xdr:from>
      <xdr:col>19</xdr:col>
      <xdr:colOff>180974</xdr:colOff>
      <xdr:row>7</xdr:row>
      <xdr:rowOff>116682</xdr:rowOff>
    </xdr:from>
    <xdr:to>
      <xdr:col>23</xdr:col>
      <xdr:colOff>95249</xdr:colOff>
      <xdr:row>9</xdr:row>
      <xdr:rowOff>11907</xdr:rowOff>
    </xdr:to>
    <xdr:sp macro="" textlink="'Step 1 - Fill in Details'!C10">
      <xdr:nvSpPr>
        <xdr:cNvPr id="6" name="TextBox 5">
          <a:extLst>
            <a:ext uri="{FF2B5EF4-FFF2-40B4-BE49-F238E27FC236}">
              <a16:creationId xmlns:a16="http://schemas.microsoft.com/office/drawing/2014/main" id="{00000000-0008-0000-0500-000006000000}"/>
            </a:ext>
          </a:extLst>
        </xdr:cNvPr>
        <xdr:cNvSpPr txBox="1"/>
      </xdr:nvSpPr>
      <xdr:spPr>
        <a:xfrm>
          <a:off x="11763374" y="1450182"/>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6CF5A267-6BF8-4420-BD8E-8C51F7873112}" type="TxLink">
            <a:rPr lang="en-US" sz="900" b="1" i="0" u="none" strike="noStrike">
              <a:solidFill>
                <a:srgbClr val="000000"/>
              </a:solidFill>
              <a:latin typeface="Calibri "/>
            </a:rPr>
            <a:pPr algn="ctr"/>
            <a:t>UC4</a:t>
          </a:fld>
          <a:endParaRPr lang="en-US" sz="1100"/>
        </a:p>
      </xdr:txBody>
    </xdr:sp>
    <xdr:clientData/>
  </xdr:twoCellAnchor>
  <xdr:twoCellAnchor>
    <xdr:from>
      <xdr:col>19</xdr:col>
      <xdr:colOff>180974</xdr:colOff>
      <xdr:row>9</xdr:row>
      <xdr:rowOff>152401</xdr:rowOff>
    </xdr:from>
    <xdr:to>
      <xdr:col>23</xdr:col>
      <xdr:colOff>95249</xdr:colOff>
      <xdr:row>11</xdr:row>
      <xdr:rowOff>47626</xdr:rowOff>
    </xdr:to>
    <xdr:sp macro="" textlink="'Step 1 - Fill in Details'!C11">
      <xdr:nvSpPr>
        <xdr:cNvPr id="7" name="TextBox 6">
          <a:extLst>
            <a:ext uri="{FF2B5EF4-FFF2-40B4-BE49-F238E27FC236}">
              <a16:creationId xmlns:a16="http://schemas.microsoft.com/office/drawing/2014/main" id="{00000000-0008-0000-0500-000007000000}"/>
            </a:ext>
          </a:extLst>
        </xdr:cNvPr>
        <xdr:cNvSpPr txBox="1"/>
      </xdr:nvSpPr>
      <xdr:spPr>
        <a:xfrm>
          <a:off x="11763374" y="1866901"/>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D2DA7553-F667-4BA3-90D1-76ABE18FC18E}" type="TxLink">
            <a:rPr lang="en-US" sz="900" b="1" i="0" u="none" strike="noStrike">
              <a:solidFill>
                <a:srgbClr val="000000"/>
              </a:solidFill>
              <a:latin typeface="Calibri "/>
            </a:rPr>
            <a:pPr algn="ctr"/>
            <a:t>UC5</a:t>
          </a:fld>
          <a:endParaRPr lang="en-US" sz="1100"/>
        </a:p>
      </xdr:txBody>
    </xdr:sp>
    <xdr:clientData/>
  </xdr:twoCellAnchor>
  <xdr:twoCellAnchor>
    <xdr:from>
      <xdr:col>19</xdr:col>
      <xdr:colOff>180974</xdr:colOff>
      <xdr:row>11</xdr:row>
      <xdr:rowOff>188120</xdr:rowOff>
    </xdr:from>
    <xdr:to>
      <xdr:col>23</xdr:col>
      <xdr:colOff>95249</xdr:colOff>
      <xdr:row>13</xdr:row>
      <xdr:rowOff>83345</xdr:rowOff>
    </xdr:to>
    <xdr:sp macro="" textlink="'Step 1 - Fill in Details'!C12">
      <xdr:nvSpPr>
        <xdr:cNvPr id="8" name="TextBox 7">
          <a:extLst>
            <a:ext uri="{FF2B5EF4-FFF2-40B4-BE49-F238E27FC236}">
              <a16:creationId xmlns:a16="http://schemas.microsoft.com/office/drawing/2014/main" id="{00000000-0008-0000-0500-000008000000}"/>
            </a:ext>
          </a:extLst>
        </xdr:cNvPr>
        <xdr:cNvSpPr txBox="1"/>
      </xdr:nvSpPr>
      <xdr:spPr>
        <a:xfrm>
          <a:off x="11763374" y="2283620"/>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AF7566B0-A4C8-4E8B-B6AD-D9E8D5786A65}" type="TxLink">
            <a:rPr lang="en-US" sz="900" b="1" i="0" u="none" strike="noStrike">
              <a:solidFill>
                <a:srgbClr val="000000"/>
              </a:solidFill>
              <a:latin typeface="Calibri "/>
            </a:rPr>
            <a:pPr algn="ctr"/>
            <a:t>UC6</a:t>
          </a:fld>
          <a:endParaRPr lang="en-US" sz="1100"/>
        </a:p>
      </xdr:txBody>
    </xdr:sp>
    <xdr:clientData/>
  </xdr:twoCellAnchor>
  <xdr:twoCellAnchor>
    <xdr:from>
      <xdr:col>19</xdr:col>
      <xdr:colOff>180974</xdr:colOff>
      <xdr:row>14</xdr:row>
      <xdr:rowOff>33339</xdr:rowOff>
    </xdr:from>
    <xdr:to>
      <xdr:col>23</xdr:col>
      <xdr:colOff>95249</xdr:colOff>
      <xdr:row>15</xdr:row>
      <xdr:rowOff>119064</xdr:rowOff>
    </xdr:to>
    <xdr:sp macro="" textlink="'Step 1 - Fill in Details'!C13">
      <xdr:nvSpPr>
        <xdr:cNvPr id="9" name="TextBox 8">
          <a:extLst>
            <a:ext uri="{FF2B5EF4-FFF2-40B4-BE49-F238E27FC236}">
              <a16:creationId xmlns:a16="http://schemas.microsoft.com/office/drawing/2014/main" id="{00000000-0008-0000-0500-000009000000}"/>
            </a:ext>
          </a:extLst>
        </xdr:cNvPr>
        <xdr:cNvSpPr txBox="1"/>
      </xdr:nvSpPr>
      <xdr:spPr>
        <a:xfrm>
          <a:off x="11763374" y="2700339"/>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35B7B457-9208-45D7-A875-BD943122DEB2}" type="TxLink">
            <a:rPr lang="en-US" sz="900" b="1" i="0" u="none" strike="noStrike">
              <a:solidFill>
                <a:srgbClr val="000000"/>
              </a:solidFill>
              <a:latin typeface="Calibri "/>
            </a:rPr>
            <a:pPr algn="ctr"/>
            <a:t>UC7</a:t>
          </a:fld>
          <a:endParaRPr lang="en-US" sz="1100"/>
        </a:p>
      </xdr:txBody>
    </xdr:sp>
    <xdr:clientData/>
  </xdr:twoCellAnchor>
  <xdr:twoCellAnchor>
    <xdr:from>
      <xdr:col>19</xdr:col>
      <xdr:colOff>180974</xdr:colOff>
      <xdr:row>16</xdr:row>
      <xdr:rowOff>69058</xdr:rowOff>
    </xdr:from>
    <xdr:to>
      <xdr:col>23</xdr:col>
      <xdr:colOff>95249</xdr:colOff>
      <xdr:row>17</xdr:row>
      <xdr:rowOff>154783</xdr:rowOff>
    </xdr:to>
    <xdr:sp macro="" textlink="'Step 1 - Fill in Details'!C14">
      <xdr:nvSpPr>
        <xdr:cNvPr id="10" name="TextBox 9">
          <a:extLst>
            <a:ext uri="{FF2B5EF4-FFF2-40B4-BE49-F238E27FC236}">
              <a16:creationId xmlns:a16="http://schemas.microsoft.com/office/drawing/2014/main" id="{00000000-0008-0000-0500-00000A000000}"/>
            </a:ext>
          </a:extLst>
        </xdr:cNvPr>
        <xdr:cNvSpPr txBox="1"/>
      </xdr:nvSpPr>
      <xdr:spPr>
        <a:xfrm>
          <a:off x="11763374" y="3117058"/>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293E529E-5FBB-4FD5-A6D0-E02AD8D2AA1B}" type="TxLink">
            <a:rPr lang="en-US" sz="900" b="1" i="0" u="none" strike="noStrike">
              <a:solidFill>
                <a:srgbClr val="000000"/>
              </a:solidFill>
              <a:latin typeface="Calibri "/>
            </a:rPr>
            <a:pPr algn="ctr"/>
            <a:t>UC8</a:t>
          </a:fld>
          <a:endParaRPr lang="en-US" sz="1100"/>
        </a:p>
      </xdr:txBody>
    </xdr:sp>
    <xdr:clientData/>
  </xdr:twoCellAnchor>
  <xdr:twoCellAnchor>
    <xdr:from>
      <xdr:col>19</xdr:col>
      <xdr:colOff>180974</xdr:colOff>
      <xdr:row>18</xdr:row>
      <xdr:rowOff>104777</xdr:rowOff>
    </xdr:from>
    <xdr:to>
      <xdr:col>23</xdr:col>
      <xdr:colOff>95249</xdr:colOff>
      <xdr:row>20</xdr:row>
      <xdr:rowOff>2</xdr:rowOff>
    </xdr:to>
    <xdr:sp macro="" textlink="'Step 1 - Fill in Details'!C15">
      <xdr:nvSpPr>
        <xdr:cNvPr id="11" name="TextBox 10">
          <a:extLst>
            <a:ext uri="{FF2B5EF4-FFF2-40B4-BE49-F238E27FC236}">
              <a16:creationId xmlns:a16="http://schemas.microsoft.com/office/drawing/2014/main" id="{00000000-0008-0000-0500-00000B000000}"/>
            </a:ext>
          </a:extLst>
        </xdr:cNvPr>
        <xdr:cNvSpPr txBox="1"/>
      </xdr:nvSpPr>
      <xdr:spPr>
        <a:xfrm>
          <a:off x="11763374" y="3533777"/>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7F727726-4F26-4DEC-82FB-7C95FA4B9E4A}" type="TxLink">
            <a:rPr lang="en-US" sz="900" b="1" i="0" u="none" strike="noStrike">
              <a:solidFill>
                <a:srgbClr val="000000"/>
              </a:solidFill>
              <a:latin typeface="Calibri "/>
            </a:rPr>
            <a:pPr algn="ctr"/>
            <a:t>UC9</a:t>
          </a:fld>
          <a:endParaRPr lang="en-US" sz="1100"/>
        </a:p>
      </xdr:txBody>
    </xdr:sp>
    <xdr:clientData/>
  </xdr:twoCellAnchor>
  <xdr:twoCellAnchor>
    <xdr:from>
      <xdr:col>19</xdr:col>
      <xdr:colOff>180974</xdr:colOff>
      <xdr:row>20</xdr:row>
      <xdr:rowOff>140496</xdr:rowOff>
    </xdr:from>
    <xdr:to>
      <xdr:col>23</xdr:col>
      <xdr:colOff>95249</xdr:colOff>
      <xdr:row>22</xdr:row>
      <xdr:rowOff>35721</xdr:rowOff>
    </xdr:to>
    <xdr:sp macro="" textlink="'Step 1 - Fill in Details'!C16">
      <xdr:nvSpPr>
        <xdr:cNvPr id="12" name="TextBox 11">
          <a:extLst>
            <a:ext uri="{FF2B5EF4-FFF2-40B4-BE49-F238E27FC236}">
              <a16:creationId xmlns:a16="http://schemas.microsoft.com/office/drawing/2014/main" id="{00000000-0008-0000-0500-00000C000000}"/>
            </a:ext>
          </a:extLst>
        </xdr:cNvPr>
        <xdr:cNvSpPr txBox="1"/>
      </xdr:nvSpPr>
      <xdr:spPr>
        <a:xfrm>
          <a:off x="11763374" y="3950496"/>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F37FDD60-43A9-4065-BF73-3FF22E84A46C}" type="TxLink">
            <a:rPr lang="en-US" sz="900" b="1" i="0" u="none" strike="noStrike">
              <a:solidFill>
                <a:srgbClr val="000000"/>
              </a:solidFill>
              <a:latin typeface="Calibri "/>
            </a:rPr>
            <a:pPr algn="ctr"/>
            <a:t>UC10</a:t>
          </a:fld>
          <a:endParaRPr lang="en-US" sz="1100"/>
        </a:p>
      </xdr:txBody>
    </xdr:sp>
    <xdr:clientData/>
  </xdr:twoCellAnchor>
  <xdr:twoCellAnchor>
    <xdr:from>
      <xdr:col>19</xdr:col>
      <xdr:colOff>180974</xdr:colOff>
      <xdr:row>22</xdr:row>
      <xdr:rowOff>176215</xdr:rowOff>
    </xdr:from>
    <xdr:to>
      <xdr:col>23</xdr:col>
      <xdr:colOff>95249</xdr:colOff>
      <xdr:row>24</xdr:row>
      <xdr:rowOff>71440</xdr:rowOff>
    </xdr:to>
    <xdr:sp macro="" textlink="'Step 1 - Fill in Details'!C17">
      <xdr:nvSpPr>
        <xdr:cNvPr id="13" name="TextBox 12">
          <a:extLst>
            <a:ext uri="{FF2B5EF4-FFF2-40B4-BE49-F238E27FC236}">
              <a16:creationId xmlns:a16="http://schemas.microsoft.com/office/drawing/2014/main" id="{00000000-0008-0000-0500-00000D000000}"/>
            </a:ext>
          </a:extLst>
        </xdr:cNvPr>
        <xdr:cNvSpPr txBox="1"/>
      </xdr:nvSpPr>
      <xdr:spPr>
        <a:xfrm>
          <a:off x="11763374" y="4367215"/>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1531280F-B37F-4D29-8ABB-1DF65264EB3E}" type="TxLink">
            <a:rPr lang="en-US" sz="900" b="1" i="0" u="none" strike="noStrike">
              <a:solidFill>
                <a:srgbClr val="000000"/>
              </a:solidFill>
              <a:latin typeface="Calibri "/>
            </a:rPr>
            <a:pPr algn="ctr"/>
            <a:t>UC11</a:t>
          </a:fld>
          <a:endParaRPr lang="en-US" sz="1100"/>
        </a:p>
      </xdr:txBody>
    </xdr:sp>
    <xdr:clientData/>
  </xdr:twoCellAnchor>
  <xdr:twoCellAnchor>
    <xdr:from>
      <xdr:col>19</xdr:col>
      <xdr:colOff>180974</xdr:colOff>
      <xdr:row>25</xdr:row>
      <xdr:rowOff>21434</xdr:rowOff>
    </xdr:from>
    <xdr:to>
      <xdr:col>23</xdr:col>
      <xdr:colOff>95249</xdr:colOff>
      <xdr:row>26</xdr:row>
      <xdr:rowOff>107159</xdr:rowOff>
    </xdr:to>
    <xdr:sp macro="" textlink="'Step 1 - Fill in Details'!C18">
      <xdr:nvSpPr>
        <xdr:cNvPr id="14" name="TextBox 13">
          <a:extLst>
            <a:ext uri="{FF2B5EF4-FFF2-40B4-BE49-F238E27FC236}">
              <a16:creationId xmlns:a16="http://schemas.microsoft.com/office/drawing/2014/main" id="{00000000-0008-0000-0500-00000E000000}"/>
            </a:ext>
          </a:extLst>
        </xdr:cNvPr>
        <xdr:cNvSpPr txBox="1"/>
      </xdr:nvSpPr>
      <xdr:spPr>
        <a:xfrm>
          <a:off x="11763374" y="4783934"/>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EC3B71A6-463C-4828-B815-48F26B52304E}" type="TxLink">
            <a:rPr lang="en-US" sz="900" b="1" i="0" u="none" strike="noStrike">
              <a:solidFill>
                <a:srgbClr val="000000"/>
              </a:solidFill>
              <a:latin typeface="Calibri "/>
            </a:rPr>
            <a:pPr algn="ctr"/>
            <a:t>UC12</a:t>
          </a:fld>
          <a:endParaRPr lang="en-US" sz="1100"/>
        </a:p>
      </xdr:txBody>
    </xdr:sp>
    <xdr:clientData/>
  </xdr:twoCellAnchor>
  <xdr:twoCellAnchor>
    <xdr:from>
      <xdr:col>19</xdr:col>
      <xdr:colOff>180974</xdr:colOff>
      <xdr:row>27</xdr:row>
      <xdr:rowOff>57150</xdr:rowOff>
    </xdr:from>
    <xdr:to>
      <xdr:col>23</xdr:col>
      <xdr:colOff>95249</xdr:colOff>
      <xdr:row>28</xdr:row>
      <xdr:rowOff>142875</xdr:rowOff>
    </xdr:to>
    <xdr:sp macro="" textlink="'Step 1 - Fill in Details'!C19">
      <xdr:nvSpPr>
        <xdr:cNvPr id="15" name="TextBox 14">
          <a:extLst>
            <a:ext uri="{FF2B5EF4-FFF2-40B4-BE49-F238E27FC236}">
              <a16:creationId xmlns:a16="http://schemas.microsoft.com/office/drawing/2014/main" id="{00000000-0008-0000-0500-00000F000000}"/>
            </a:ext>
          </a:extLst>
        </xdr:cNvPr>
        <xdr:cNvSpPr txBox="1"/>
      </xdr:nvSpPr>
      <xdr:spPr>
        <a:xfrm>
          <a:off x="11763374" y="5200650"/>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65EE7AD7-EBB3-411D-BC16-4DAFDF495516}" type="TxLink">
            <a:rPr lang="en-US" sz="900" b="1" i="0" u="none" strike="noStrike">
              <a:solidFill>
                <a:srgbClr val="000000"/>
              </a:solidFill>
              <a:latin typeface="Calibri "/>
            </a:rPr>
            <a:pPr algn="ctr"/>
            <a:t>UC13</a:t>
          </a:fld>
          <a:endParaRPr lang="en-US" sz="1100"/>
        </a:p>
      </xdr:txBody>
    </xdr:sp>
    <xdr:clientData/>
  </xdr:twoCellAnchor>
  <xdr:twoCellAnchor>
    <xdr:from>
      <xdr:col>23</xdr:col>
      <xdr:colOff>266699</xdr:colOff>
      <xdr:row>1</xdr:row>
      <xdr:rowOff>0</xdr:rowOff>
    </xdr:from>
    <xdr:to>
      <xdr:col>27</xdr:col>
      <xdr:colOff>180974</xdr:colOff>
      <xdr:row>2</xdr:row>
      <xdr:rowOff>85725</xdr:rowOff>
    </xdr:to>
    <xdr:sp macro="" textlink="'Step 1 - Fill in Details'!C20">
      <xdr:nvSpPr>
        <xdr:cNvPr id="16" name="TextBox 15">
          <a:extLst>
            <a:ext uri="{FF2B5EF4-FFF2-40B4-BE49-F238E27FC236}">
              <a16:creationId xmlns:a16="http://schemas.microsoft.com/office/drawing/2014/main" id="{00000000-0008-0000-0500-000010000000}"/>
            </a:ext>
          </a:extLst>
        </xdr:cNvPr>
        <xdr:cNvSpPr txBox="1"/>
      </xdr:nvSpPr>
      <xdr:spPr>
        <a:xfrm>
          <a:off x="14287499" y="190500"/>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0FB3AC30-1B7B-46DA-A800-56C944D5FC09}" type="TxLink">
            <a:rPr lang="en-US" sz="900" b="1" i="0" u="none" strike="noStrike">
              <a:solidFill>
                <a:srgbClr val="000000"/>
              </a:solidFill>
              <a:latin typeface="Calibri "/>
            </a:rPr>
            <a:pPr algn="ctr"/>
            <a:t>UC14</a:t>
          </a:fld>
          <a:endParaRPr lang="en-US" sz="1100"/>
        </a:p>
      </xdr:txBody>
    </xdr:sp>
    <xdr:clientData/>
  </xdr:twoCellAnchor>
  <xdr:twoCellAnchor>
    <xdr:from>
      <xdr:col>23</xdr:col>
      <xdr:colOff>266699</xdr:colOff>
      <xdr:row>3</xdr:row>
      <xdr:rowOff>36368</xdr:rowOff>
    </xdr:from>
    <xdr:to>
      <xdr:col>27</xdr:col>
      <xdr:colOff>180974</xdr:colOff>
      <xdr:row>4</xdr:row>
      <xdr:rowOff>122093</xdr:rowOff>
    </xdr:to>
    <xdr:sp macro="" textlink="'Step 1 - Fill in Details'!C21">
      <xdr:nvSpPr>
        <xdr:cNvPr id="17" name="TextBox 16">
          <a:extLst>
            <a:ext uri="{FF2B5EF4-FFF2-40B4-BE49-F238E27FC236}">
              <a16:creationId xmlns:a16="http://schemas.microsoft.com/office/drawing/2014/main" id="{00000000-0008-0000-0500-000011000000}"/>
            </a:ext>
          </a:extLst>
        </xdr:cNvPr>
        <xdr:cNvSpPr txBox="1"/>
      </xdr:nvSpPr>
      <xdr:spPr>
        <a:xfrm>
          <a:off x="14287499" y="607868"/>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5ED5AE27-85E7-4EFD-913A-65EA79289BD6}" type="TxLink">
            <a:rPr lang="en-US" sz="900" b="1" i="0" u="none" strike="noStrike">
              <a:solidFill>
                <a:srgbClr val="000000"/>
              </a:solidFill>
              <a:latin typeface="Calibri "/>
            </a:rPr>
            <a:pPr algn="ctr"/>
            <a:t>UC15</a:t>
          </a:fld>
          <a:endParaRPr lang="en-US" sz="1100"/>
        </a:p>
      </xdr:txBody>
    </xdr:sp>
    <xdr:clientData/>
  </xdr:twoCellAnchor>
  <xdr:twoCellAnchor>
    <xdr:from>
      <xdr:col>23</xdr:col>
      <xdr:colOff>266699</xdr:colOff>
      <xdr:row>5</xdr:row>
      <xdr:rowOff>72736</xdr:rowOff>
    </xdr:from>
    <xdr:to>
      <xdr:col>27</xdr:col>
      <xdr:colOff>180974</xdr:colOff>
      <xdr:row>6</xdr:row>
      <xdr:rowOff>158461</xdr:rowOff>
    </xdr:to>
    <xdr:sp macro="" textlink="'Step 1 - Fill in Details'!C22">
      <xdr:nvSpPr>
        <xdr:cNvPr id="18" name="TextBox 17">
          <a:extLst>
            <a:ext uri="{FF2B5EF4-FFF2-40B4-BE49-F238E27FC236}">
              <a16:creationId xmlns:a16="http://schemas.microsoft.com/office/drawing/2014/main" id="{00000000-0008-0000-0500-000012000000}"/>
            </a:ext>
          </a:extLst>
        </xdr:cNvPr>
        <xdr:cNvSpPr txBox="1"/>
      </xdr:nvSpPr>
      <xdr:spPr>
        <a:xfrm>
          <a:off x="14287499" y="1025236"/>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8CE3161A-24D0-40C5-8938-4673B23E76F8}" type="TxLink">
            <a:rPr lang="en-US" sz="900" b="1" i="0" u="none" strike="noStrike">
              <a:solidFill>
                <a:srgbClr val="000000"/>
              </a:solidFill>
              <a:latin typeface="Calibri "/>
            </a:rPr>
            <a:pPr algn="ctr"/>
            <a:t>UC16</a:t>
          </a:fld>
          <a:endParaRPr lang="en-US" sz="1100"/>
        </a:p>
      </xdr:txBody>
    </xdr:sp>
    <xdr:clientData/>
  </xdr:twoCellAnchor>
  <xdr:twoCellAnchor>
    <xdr:from>
      <xdr:col>23</xdr:col>
      <xdr:colOff>266699</xdr:colOff>
      <xdr:row>7</xdr:row>
      <xdr:rowOff>109104</xdr:rowOff>
    </xdr:from>
    <xdr:to>
      <xdr:col>27</xdr:col>
      <xdr:colOff>180974</xdr:colOff>
      <xdr:row>9</xdr:row>
      <xdr:rowOff>4329</xdr:rowOff>
    </xdr:to>
    <xdr:sp macro="" textlink="'Step 1 - Fill in Details'!C23">
      <xdr:nvSpPr>
        <xdr:cNvPr id="19" name="TextBox 18">
          <a:extLst>
            <a:ext uri="{FF2B5EF4-FFF2-40B4-BE49-F238E27FC236}">
              <a16:creationId xmlns:a16="http://schemas.microsoft.com/office/drawing/2014/main" id="{00000000-0008-0000-0500-000013000000}"/>
            </a:ext>
          </a:extLst>
        </xdr:cNvPr>
        <xdr:cNvSpPr txBox="1"/>
      </xdr:nvSpPr>
      <xdr:spPr>
        <a:xfrm>
          <a:off x="14287499" y="1442604"/>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FE0DE55B-7E3A-4BBC-8E1D-7B43128CDC2A}" type="TxLink">
            <a:rPr lang="en-US" sz="900" b="1" i="0" u="none" strike="noStrike">
              <a:solidFill>
                <a:srgbClr val="000000"/>
              </a:solidFill>
              <a:latin typeface="Calibri "/>
            </a:rPr>
            <a:pPr algn="ctr"/>
            <a:t>UC17</a:t>
          </a:fld>
          <a:endParaRPr lang="en-US" sz="1100"/>
        </a:p>
      </xdr:txBody>
    </xdr:sp>
    <xdr:clientData/>
  </xdr:twoCellAnchor>
  <xdr:twoCellAnchor>
    <xdr:from>
      <xdr:col>23</xdr:col>
      <xdr:colOff>266699</xdr:colOff>
      <xdr:row>9</xdr:row>
      <xdr:rowOff>145472</xdr:rowOff>
    </xdr:from>
    <xdr:to>
      <xdr:col>27</xdr:col>
      <xdr:colOff>180974</xdr:colOff>
      <xdr:row>11</xdr:row>
      <xdr:rowOff>40697</xdr:rowOff>
    </xdr:to>
    <xdr:sp macro="" textlink="'Step 1 - Fill in Details'!C24">
      <xdr:nvSpPr>
        <xdr:cNvPr id="20" name="TextBox 19">
          <a:extLst>
            <a:ext uri="{FF2B5EF4-FFF2-40B4-BE49-F238E27FC236}">
              <a16:creationId xmlns:a16="http://schemas.microsoft.com/office/drawing/2014/main" id="{00000000-0008-0000-0500-000014000000}"/>
            </a:ext>
          </a:extLst>
        </xdr:cNvPr>
        <xdr:cNvSpPr txBox="1"/>
      </xdr:nvSpPr>
      <xdr:spPr>
        <a:xfrm>
          <a:off x="14287499" y="1859972"/>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7493E7F0-A95C-4733-A83E-034672C223ED}" type="TxLink">
            <a:rPr lang="en-US" sz="900" b="1" i="0" u="none" strike="noStrike">
              <a:solidFill>
                <a:srgbClr val="000000"/>
              </a:solidFill>
              <a:latin typeface="Calibri "/>
            </a:rPr>
            <a:pPr algn="ctr"/>
            <a:t>UC18</a:t>
          </a:fld>
          <a:endParaRPr lang="en-US" sz="1100"/>
        </a:p>
      </xdr:txBody>
    </xdr:sp>
    <xdr:clientData/>
  </xdr:twoCellAnchor>
  <xdr:twoCellAnchor>
    <xdr:from>
      <xdr:col>23</xdr:col>
      <xdr:colOff>266699</xdr:colOff>
      <xdr:row>11</xdr:row>
      <xdr:rowOff>181840</xdr:rowOff>
    </xdr:from>
    <xdr:to>
      <xdr:col>27</xdr:col>
      <xdr:colOff>180974</xdr:colOff>
      <xdr:row>13</xdr:row>
      <xdr:rowOff>77065</xdr:rowOff>
    </xdr:to>
    <xdr:sp macro="" textlink="'Step 1 - Fill in Details'!C25">
      <xdr:nvSpPr>
        <xdr:cNvPr id="21" name="TextBox 20">
          <a:extLst>
            <a:ext uri="{FF2B5EF4-FFF2-40B4-BE49-F238E27FC236}">
              <a16:creationId xmlns:a16="http://schemas.microsoft.com/office/drawing/2014/main" id="{00000000-0008-0000-0500-000015000000}"/>
            </a:ext>
          </a:extLst>
        </xdr:cNvPr>
        <xdr:cNvSpPr txBox="1"/>
      </xdr:nvSpPr>
      <xdr:spPr>
        <a:xfrm>
          <a:off x="14287499" y="2277340"/>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C6DE5032-0755-48B7-9ECD-73851170039E}" type="TxLink">
            <a:rPr lang="en-US" sz="900" b="1" i="0" u="none" strike="noStrike">
              <a:solidFill>
                <a:srgbClr val="000000"/>
              </a:solidFill>
              <a:latin typeface="Calibri "/>
            </a:rPr>
            <a:pPr algn="ctr"/>
            <a:t>UC19</a:t>
          </a:fld>
          <a:endParaRPr lang="en-US" sz="1100"/>
        </a:p>
      </xdr:txBody>
    </xdr:sp>
    <xdr:clientData/>
  </xdr:twoCellAnchor>
  <xdr:twoCellAnchor>
    <xdr:from>
      <xdr:col>23</xdr:col>
      <xdr:colOff>266699</xdr:colOff>
      <xdr:row>14</xdr:row>
      <xdr:rowOff>27708</xdr:rowOff>
    </xdr:from>
    <xdr:to>
      <xdr:col>27</xdr:col>
      <xdr:colOff>180974</xdr:colOff>
      <xdr:row>15</xdr:row>
      <xdr:rowOff>113433</xdr:rowOff>
    </xdr:to>
    <xdr:sp macro="" textlink="'Step 1 - Fill in Details'!C26">
      <xdr:nvSpPr>
        <xdr:cNvPr id="22" name="TextBox 21">
          <a:extLst>
            <a:ext uri="{FF2B5EF4-FFF2-40B4-BE49-F238E27FC236}">
              <a16:creationId xmlns:a16="http://schemas.microsoft.com/office/drawing/2014/main" id="{00000000-0008-0000-0500-000016000000}"/>
            </a:ext>
          </a:extLst>
        </xdr:cNvPr>
        <xdr:cNvSpPr txBox="1"/>
      </xdr:nvSpPr>
      <xdr:spPr>
        <a:xfrm>
          <a:off x="14287499" y="2694708"/>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6CDBC56F-1D5D-4AB9-9EFD-95BB9CC4E30F}" type="TxLink">
            <a:rPr lang="en-US" sz="900" b="1" i="0" u="none" strike="noStrike">
              <a:solidFill>
                <a:srgbClr val="000000"/>
              </a:solidFill>
              <a:latin typeface="Calibri "/>
            </a:rPr>
            <a:pPr algn="ctr"/>
            <a:t>UC20</a:t>
          </a:fld>
          <a:endParaRPr lang="en-US" sz="1100"/>
        </a:p>
      </xdr:txBody>
    </xdr:sp>
    <xdr:clientData/>
  </xdr:twoCellAnchor>
  <xdr:twoCellAnchor>
    <xdr:from>
      <xdr:col>23</xdr:col>
      <xdr:colOff>266699</xdr:colOff>
      <xdr:row>16</xdr:row>
      <xdr:rowOff>64076</xdr:rowOff>
    </xdr:from>
    <xdr:to>
      <xdr:col>27</xdr:col>
      <xdr:colOff>180974</xdr:colOff>
      <xdr:row>17</xdr:row>
      <xdr:rowOff>149801</xdr:rowOff>
    </xdr:to>
    <xdr:sp macro="" textlink="'Step 1 - Fill in Details'!C27">
      <xdr:nvSpPr>
        <xdr:cNvPr id="23" name="TextBox 22">
          <a:extLst>
            <a:ext uri="{FF2B5EF4-FFF2-40B4-BE49-F238E27FC236}">
              <a16:creationId xmlns:a16="http://schemas.microsoft.com/office/drawing/2014/main" id="{00000000-0008-0000-0500-000017000000}"/>
            </a:ext>
          </a:extLst>
        </xdr:cNvPr>
        <xdr:cNvSpPr txBox="1"/>
      </xdr:nvSpPr>
      <xdr:spPr>
        <a:xfrm>
          <a:off x="14287499" y="3112076"/>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0E53160F-5857-4FDD-ACEE-37B1D8B3C1E1}" type="TxLink">
            <a:rPr lang="en-US" sz="900" b="1" i="0" u="none" strike="noStrike">
              <a:solidFill>
                <a:srgbClr val="000000"/>
              </a:solidFill>
              <a:latin typeface="Calibri "/>
            </a:rPr>
            <a:pPr algn="ctr"/>
            <a:t>UC21</a:t>
          </a:fld>
          <a:endParaRPr lang="en-US" sz="1100"/>
        </a:p>
      </xdr:txBody>
    </xdr:sp>
    <xdr:clientData/>
  </xdr:twoCellAnchor>
  <xdr:twoCellAnchor>
    <xdr:from>
      <xdr:col>23</xdr:col>
      <xdr:colOff>266699</xdr:colOff>
      <xdr:row>18</xdr:row>
      <xdr:rowOff>100444</xdr:rowOff>
    </xdr:from>
    <xdr:to>
      <xdr:col>27</xdr:col>
      <xdr:colOff>180974</xdr:colOff>
      <xdr:row>19</xdr:row>
      <xdr:rowOff>186169</xdr:rowOff>
    </xdr:to>
    <xdr:sp macro="" textlink="'Step 1 - Fill in Details'!C28">
      <xdr:nvSpPr>
        <xdr:cNvPr id="24" name="TextBox 23">
          <a:extLst>
            <a:ext uri="{FF2B5EF4-FFF2-40B4-BE49-F238E27FC236}">
              <a16:creationId xmlns:a16="http://schemas.microsoft.com/office/drawing/2014/main" id="{00000000-0008-0000-0500-000018000000}"/>
            </a:ext>
          </a:extLst>
        </xdr:cNvPr>
        <xdr:cNvSpPr txBox="1"/>
      </xdr:nvSpPr>
      <xdr:spPr>
        <a:xfrm>
          <a:off x="14287499" y="3529444"/>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5D96F40D-5DB1-4A4C-A09C-8C3A946966C6}" type="TxLink">
            <a:rPr lang="en-US" sz="900" b="1" i="0" u="none" strike="noStrike">
              <a:solidFill>
                <a:srgbClr val="000000"/>
              </a:solidFill>
              <a:latin typeface="Calibri "/>
            </a:rPr>
            <a:pPr algn="ctr"/>
            <a:t>UC22</a:t>
          </a:fld>
          <a:endParaRPr lang="en-US" sz="1100"/>
        </a:p>
      </xdr:txBody>
    </xdr:sp>
    <xdr:clientData/>
  </xdr:twoCellAnchor>
  <xdr:twoCellAnchor>
    <xdr:from>
      <xdr:col>23</xdr:col>
      <xdr:colOff>266699</xdr:colOff>
      <xdr:row>20</xdr:row>
      <xdr:rowOff>136812</xdr:rowOff>
    </xdr:from>
    <xdr:to>
      <xdr:col>27</xdr:col>
      <xdr:colOff>180974</xdr:colOff>
      <xdr:row>22</xdr:row>
      <xdr:rowOff>32037</xdr:rowOff>
    </xdr:to>
    <xdr:sp macro="" textlink="'Step 1 - Fill in Details'!C29">
      <xdr:nvSpPr>
        <xdr:cNvPr id="25" name="TextBox 24">
          <a:extLst>
            <a:ext uri="{FF2B5EF4-FFF2-40B4-BE49-F238E27FC236}">
              <a16:creationId xmlns:a16="http://schemas.microsoft.com/office/drawing/2014/main" id="{00000000-0008-0000-0500-000019000000}"/>
            </a:ext>
          </a:extLst>
        </xdr:cNvPr>
        <xdr:cNvSpPr txBox="1"/>
      </xdr:nvSpPr>
      <xdr:spPr>
        <a:xfrm>
          <a:off x="14287499" y="3946812"/>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FB1268F4-C833-44E3-8BF0-46DE102D7A98}" type="TxLink">
            <a:rPr lang="en-US" sz="900" b="1" i="0" u="none" strike="noStrike">
              <a:solidFill>
                <a:srgbClr val="000000"/>
              </a:solidFill>
              <a:latin typeface="Calibri "/>
            </a:rPr>
            <a:pPr algn="ctr"/>
            <a:t>UC23</a:t>
          </a:fld>
          <a:endParaRPr lang="en-US" sz="1100"/>
        </a:p>
      </xdr:txBody>
    </xdr:sp>
    <xdr:clientData/>
  </xdr:twoCellAnchor>
  <xdr:twoCellAnchor>
    <xdr:from>
      <xdr:col>23</xdr:col>
      <xdr:colOff>266699</xdr:colOff>
      <xdr:row>22</xdr:row>
      <xdr:rowOff>173180</xdr:rowOff>
    </xdr:from>
    <xdr:to>
      <xdr:col>27</xdr:col>
      <xdr:colOff>180974</xdr:colOff>
      <xdr:row>24</xdr:row>
      <xdr:rowOff>68405</xdr:rowOff>
    </xdr:to>
    <xdr:sp macro="" textlink="'Step 1 - Fill in Details'!C30">
      <xdr:nvSpPr>
        <xdr:cNvPr id="26" name="TextBox 25">
          <a:extLst>
            <a:ext uri="{FF2B5EF4-FFF2-40B4-BE49-F238E27FC236}">
              <a16:creationId xmlns:a16="http://schemas.microsoft.com/office/drawing/2014/main" id="{00000000-0008-0000-0500-00001A000000}"/>
            </a:ext>
          </a:extLst>
        </xdr:cNvPr>
        <xdr:cNvSpPr txBox="1"/>
      </xdr:nvSpPr>
      <xdr:spPr>
        <a:xfrm>
          <a:off x="14287499" y="4364180"/>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EC10DC8A-CC5E-4EEB-AC25-CFD8D2B36DC3}" type="TxLink">
            <a:rPr lang="en-US" sz="900" b="1" i="0" u="none" strike="noStrike">
              <a:solidFill>
                <a:srgbClr val="000000"/>
              </a:solidFill>
              <a:latin typeface="Calibri "/>
            </a:rPr>
            <a:pPr algn="ctr"/>
            <a:t>UC24</a:t>
          </a:fld>
          <a:endParaRPr lang="en-US" sz="1100"/>
        </a:p>
      </xdr:txBody>
    </xdr:sp>
    <xdr:clientData/>
  </xdr:twoCellAnchor>
  <xdr:twoCellAnchor>
    <xdr:from>
      <xdr:col>23</xdr:col>
      <xdr:colOff>266699</xdr:colOff>
      <xdr:row>25</xdr:row>
      <xdr:rowOff>19050</xdr:rowOff>
    </xdr:from>
    <xdr:to>
      <xdr:col>27</xdr:col>
      <xdr:colOff>180974</xdr:colOff>
      <xdr:row>26</xdr:row>
      <xdr:rowOff>104775</xdr:rowOff>
    </xdr:to>
    <xdr:sp macro="" textlink="'Step 1 - Fill in Details'!C30">
      <xdr:nvSpPr>
        <xdr:cNvPr id="27" name="TextBox 26">
          <a:extLst>
            <a:ext uri="{FF2B5EF4-FFF2-40B4-BE49-F238E27FC236}">
              <a16:creationId xmlns:a16="http://schemas.microsoft.com/office/drawing/2014/main" id="{00000000-0008-0000-0500-00001B000000}"/>
            </a:ext>
          </a:extLst>
        </xdr:cNvPr>
        <xdr:cNvSpPr txBox="1"/>
      </xdr:nvSpPr>
      <xdr:spPr>
        <a:xfrm>
          <a:off x="14287499" y="4781550"/>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C47FB866-3193-467C-9DD4-2FE0414E6B47}" type="TxLink">
            <a:rPr lang="en-US" sz="900" b="1" i="0" u="none" strike="noStrike">
              <a:solidFill>
                <a:srgbClr val="000000"/>
              </a:solidFill>
              <a:latin typeface="Calibri "/>
            </a:rPr>
            <a:pPr algn="ctr"/>
            <a:t>UC24</a:t>
          </a:fld>
          <a:endParaRPr lang="en-US" sz="1100"/>
        </a:p>
      </xdr:txBody>
    </xdr:sp>
    <xdr:clientData/>
  </xdr:twoCellAnchor>
  <xdr:twoCellAnchor>
    <xdr:from>
      <xdr:col>23</xdr:col>
      <xdr:colOff>276224</xdr:colOff>
      <xdr:row>27</xdr:row>
      <xdr:rowOff>47625</xdr:rowOff>
    </xdr:from>
    <xdr:to>
      <xdr:col>27</xdr:col>
      <xdr:colOff>190499</xdr:colOff>
      <xdr:row>28</xdr:row>
      <xdr:rowOff>133350</xdr:rowOff>
    </xdr:to>
    <xdr:sp macro="" textlink="'Step 1 - Fill in Details'!C31">
      <xdr:nvSpPr>
        <xdr:cNvPr id="49" name="TextBox 48">
          <a:extLst>
            <a:ext uri="{FF2B5EF4-FFF2-40B4-BE49-F238E27FC236}">
              <a16:creationId xmlns:a16="http://schemas.microsoft.com/office/drawing/2014/main" id="{00000000-0008-0000-0500-000031000000}"/>
            </a:ext>
          </a:extLst>
        </xdr:cNvPr>
        <xdr:cNvSpPr txBox="1"/>
      </xdr:nvSpPr>
      <xdr:spPr>
        <a:xfrm>
          <a:off x="14297024" y="5191125"/>
          <a:ext cx="2352675" cy="276225"/>
        </a:xfrm>
        <a:prstGeom prst="roundRect">
          <a:avLst/>
        </a:prstGeom>
        <a:solidFill>
          <a:srgbClr val="D0DEEA">
            <a:alpha val="57000"/>
          </a:srgbClr>
        </a:solidFill>
        <a:ln>
          <a:solidFill>
            <a:srgbClr val="073763"/>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17BFD4B6-03AC-4223-923D-1DB442899996}" type="TxLink">
            <a:rPr lang="en-US" sz="900" b="1" i="0" u="none" strike="noStrike">
              <a:solidFill>
                <a:srgbClr val="000000"/>
              </a:solidFill>
              <a:latin typeface="Calibri "/>
            </a:rPr>
            <a:pPr algn="ctr"/>
            <a:t>UC25</a:t>
          </a:fld>
          <a:endParaRPr lang="en-US" sz="1100"/>
        </a:p>
      </xdr:txBody>
    </xdr:sp>
    <xdr:clientData/>
  </xdr:twoCellAnchor>
  <xdr:twoCellAnchor>
    <xdr:from>
      <xdr:col>21</xdr:col>
      <xdr:colOff>381000</xdr:colOff>
      <xdr:row>33</xdr:row>
      <xdr:rowOff>38100</xdr:rowOff>
    </xdr:from>
    <xdr:to>
      <xdr:col>25</xdr:col>
      <xdr:colOff>352425</xdr:colOff>
      <xdr:row>35</xdr:row>
      <xdr:rowOff>161925</xdr:rowOff>
    </xdr:to>
    <xdr:sp macro="" textlink="">
      <xdr:nvSpPr>
        <xdr:cNvPr id="50" name="TextBox 49">
          <a:extLst>
            <a:ext uri="{FF2B5EF4-FFF2-40B4-BE49-F238E27FC236}">
              <a16:creationId xmlns:a16="http://schemas.microsoft.com/office/drawing/2014/main" id="{00000000-0008-0000-0500-000032000000}"/>
            </a:ext>
          </a:extLst>
        </xdr:cNvPr>
        <xdr:cNvSpPr txBox="1"/>
      </xdr:nvSpPr>
      <xdr:spPr>
        <a:xfrm>
          <a:off x="13182600" y="6324600"/>
          <a:ext cx="2409825" cy="504825"/>
        </a:xfrm>
        <a:prstGeom prst="wedgeRectCallout">
          <a:avLst>
            <a:gd name="adj1" fmla="val 74819"/>
            <a:gd name="adj2" fmla="val -201651"/>
          </a:avLst>
        </a:prstGeom>
        <a:solidFill>
          <a:srgbClr val="D0DEEA"/>
        </a:solidFill>
        <a:ln w="9525" cmpd="sng">
          <a:solidFill>
            <a:srgbClr val="3B561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Drag and drop these labels</a:t>
          </a:r>
          <a:r>
            <a:rPr lang="en-US" sz="1100" baseline="0"/>
            <a:t> on to the graphic for customization </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19</xdr:col>
      <xdr:colOff>216426</xdr:colOff>
      <xdr:row>4</xdr:row>
      <xdr:rowOff>97673</xdr:rowOff>
    </xdr:from>
    <xdr:to>
      <xdr:col>40</xdr:col>
      <xdr:colOff>37218</xdr:colOff>
      <xdr:row>36</xdr:row>
      <xdr:rowOff>95250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rotWithShape="1">
        <a:blip xmlns:r="http://schemas.openxmlformats.org/officeDocument/2006/relationships" r:embed="rId1"/>
        <a:srcRect b="8054"/>
        <a:stretch/>
      </xdr:blipFill>
      <xdr:spPr>
        <a:xfrm>
          <a:off x="12542729" y="847767"/>
          <a:ext cx="12236153" cy="6295983"/>
        </a:xfrm>
        <a:prstGeom prst="rect">
          <a:avLst/>
        </a:prstGeom>
      </xdr:spPr>
    </xdr:pic>
    <xdr:clientData/>
  </xdr:twoCellAnchor>
  <xdr:twoCellAnchor editAs="absolute">
    <xdr:from>
      <xdr:col>26</xdr:col>
      <xdr:colOff>189064</xdr:colOff>
      <xdr:row>4</xdr:row>
      <xdr:rowOff>130492</xdr:rowOff>
    </xdr:from>
    <xdr:to>
      <xdr:col>38</xdr:col>
      <xdr:colOff>406234</xdr:colOff>
      <xdr:row>43</xdr:row>
      <xdr:rowOff>19526</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norrie/Desktop/EXAMPLE%20-%20B2B%20Sales%20Use%20Case%20Pris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RTNER LEADER'S TOOL"/>
      <sheetName val="Step 0 - About Prism"/>
      <sheetName val="Step 1 - Fill in Details"/>
      <sheetName val="Step 2 - Scoring"/>
      <sheetName val="Step 3 - Create Pipeline"/>
      <sheetName val="(VIEW) Symbol Sheet"/>
      <sheetName val="(VIEW) Prism"/>
      <sheetName val="Sandbox"/>
      <sheetName val="Version History"/>
    </sheetNames>
    <sheetDataSet>
      <sheetData sheetId="0"/>
      <sheetData sheetId="1"/>
      <sheetData sheetId="2">
        <row r="8">
          <cell r="Q8" t="str">
            <v>Lorem Ipsum</v>
          </cell>
        </row>
        <row r="18">
          <cell r="Q18" t="str">
            <v>Lorem Ipsum</v>
          </cell>
        </row>
      </sheetData>
      <sheetData sheetId="3"/>
      <sheetData sheetId="4"/>
      <sheetData sheetId="5">
        <row r="4">
          <cell r="D4" t="str">
            <v>Business Value</v>
          </cell>
          <cell r="O4" t="str">
            <v>Feasibility</v>
          </cell>
        </row>
        <row r="5">
          <cell r="D5">
            <v>1</v>
          </cell>
          <cell r="F5">
            <v>2</v>
          </cell>
          <cell r="H5">
            <v>3</v>
          </cell>
          <cell r="J5" t="str">
            <v/>
          </cell>
          <cell r="L5" t="str">
            <v/>
          </cell>
          <cell r="O5">
            <v>4</v>
          </cell>
          <cell r="Q5">
            <v>5</v>
          </cell>
          <cell r="S5" t="str">
            <v/>
          </cell>
          <cell r="U5" t="str">
            <v/>
          </cell>
          <cell r="W5" t="str">
            <v/>
          </cell>
        </row>
        <row r="6">
          <cell r="H6" t="str">
            <v/>
          </cell>
        </row>
      </sheetData>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gartner.com/document/code/735309"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981B-F5FF-4284-8476-180BAAFDCF91}">
  <dimension ref="A1:Z999"/>
  <sheetViews>
    <sheetView showRowColHeaders="0" tabSelected="1" workbookViewId="0">
      <selection activeCell="D11" sqref="D11"/>
    </sheetView>
  </sheetViews>
  <sheetFormatPr defaultColWidth="14.42578125" defaultRowHeight="15" customHeight="1"/>
  <cols>
    <col min="1" max="1" width="3.7109375" style="99" customWidth="1"/>
    <col min="2" max="2" width="119.140625" style="99" customWidth="1"/>
    <col min="3" max="26" width="9.140625" style="99" customWidth="1"/>
    <col min="27" max="16384" width="14.42578125" style="99"/>
  </cols>
  <sheetData>
    <row r="1" spans="1:26" ht="12.75" customHeight="1">
      <c r="A1" s="98"/>
      <c r="B1" s="98"/>
      <c r="C1" s="98"/>
      <c r="D1" s="98"/>
      <c r="E1" s="98"/>
      <c r="F1" s="98"/>
      <c r="G1" s="98"/>
      <c r="H1" s="98"/>
      <c r="I1" s="98"/>
      <c r="J1" s="98"/>
      <c r="K1" s="98"/>
      <c r="L1" s="98"/>
      <c r="M1" s="98"/>
      <c r="N1" s="98"/>
      <c r="O1" s="98"/>
      <c r="P1" s="98"/>
      <c r="Q1" s="98"/>
      <c r="R1" s="98"/>
      <c r="S1" s="98"/>
      <c r="T1" s="98"/>
      <c r="U1" s="98"/>
      <c r="V1" s="98"/>
      <c r="W1" s="98"/>
      <c r="X1" s="98"/>
      <c r="Y1" s="98"/>
      <c r="Z1" s="98"/>
    </row>
    <row r="2" spans="1:26" ht="12.75" customHeight="1">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row>
    <row r="3" spans="1:26" ht="12.75" customHeight="1">
      <c r="A3" s="100"/>
      <c r="B3" s="100"/>
      <c r="C3" s="100"/>
      <c r="D3" s="100"/>
      <c r="E3" s="100"/>
      <c r="F3" s="100"/>
      <c r="G3" s="100"/>
      <c r="H3" s="100"/>
      <c r="I3" s="100"/>
      <c r="J3" s="100"/>
      <c r="K3" s="100"/>
      <c r="L3" s="100"/>
      <c r="M3" s="100"/>
      <c r="N3" s="100"/>
      <c r="O3" s="100"/>
      <c r="P3" s="100"/>
      <c r="Q3" s="100"/>
      <c r="R3" s="100"/>
      <c r="S3" s="100"/>
      <c r="T3" s="100"/>
      <c r="U3" s="100"/>
      <c r="V3" s="100"/>
      <c r="W3" s="100"/>
      <c r="X3" s="100"/>
      <c r="Y3" s="100"/>
      <c r="Z3" s="100"/>
    </row>
    <row r="4" spans="1:26" ht="12.75" customHeight="1">
      <c r="A4" s="98"/>
      <c r="B4" s="98"/>
      <c r="C4" s="98"/>
      <c r="D4" s="98"/>
      <c r="E4" s="98"/>
      <c r="F4" s="98"/>
      <c r="G4" s="98"/>
      <c r="H4" s="98"/>
      <c r="I4" s="98"/>
      <c r="J4" s="98"/>
      <c r="K4" s="98"/>
      <c r="L4" s="98"/>
      <c r="M4" s="98"/>
      <c r="N4" s="98"/>
      <c r="O4" s="98"/>
      <c r="P4" s="98"/>
      <c r="Q4" s="98"/>
      <c r="R4" s="98"/>
      <c r="S4" s="98"/>
      <c r="T4" s="98"/>
      <c r="U4" s="98"/>
      <c r="V4" s="98"/>
      <c r="W4" s="98"/>
      <c r="X4" s="98"/>
      <c r="Y4" s="98"/>
      <c r="Z4" s="98"/>
    </row>
    <row r="5" spans="1:26" ht="12.75" customHeight="1">
      <c r="A5" s="98"/>
      <c r="B5" s="98"/>
      <c r="C5" s="98"/>
      <c r="D5" s="98"/>
      <c r="E5" s="98"/>
      <c r="F5" s="98"/>
      <c r="G5" s="98"/>
      <c r="H5" s="98"/>
      <c r="I5" s="98"/>
      <c r="J5" s="98"/>
      <c r="K5" s="98"/>
      <c r="L5" s="98"/>
      <c r="M5" s="98"/>
      <c r="N5" s="98"/>
      <c r="O5" s="98"/>
      <c r="P5" s="98"/>
      <c r="Q5" s="98"/>
      <c r="R5" s="98"/>
      <c r="S5" s="98"/>
      <c r="T5" s="98"/>
      <c r="U5" s="98"/>
      <c r="V5" s="98"/>
      <c r="W5" s="98"/>
      <c r="X5" s="98"/>
      <c r="Y5" s="98"/>
      <c r="Z5" s="98"/>
    </row>
    <row r="6" spans="1:26" ht="12.75" customHeight="1">
      <c r="A6" s="98"/>
      <c r="B6" s="98"/>
      <c r="C6" s="98"/>
      <c r="D6" s="98"/>
      <c r="E6" s="98"/>
      <c r="F6" s="98"/>
      <c r="G6" s="98"/>
      <c r="H6" s="98"/>
      <c r="I6" s="98"/>
      <c r="J6" s="98"/>
      <c r="K6" s="98"/>
      <c r="L6" s="98"/>
      <c r="M6" s="98"/>
      <c r="N6" s="98"/>
      <c r="O6" s="98"/>
      <c r="P6" s="98"/>
      <c r="Q6" s="98"/>
      <c r="R6" s="98"/>
      <c r="S6" s="98"/>
      <c r="T6" s="98"/>
      <c r="U6" s="98"/>
      <c r="V6" s="98"/>
      <c r="W6" s="98"/>
      <c r="X6" s="98"/>
      <c r="Y6" s="98"/>
      <c r="Z6" s="98"/>
    </row>
    <row r="7" spans="1:26" ht="12.75" customHeight="1">
      <c r="A7" s="98"/>
      <c r="B7" s="109"/>
      <c r="C7" s="110"/>
      <c r="D7" s="110"/>
      <c r="E7" s="110"/>
      <c r="F7" s="110"/>
      <c r="G7" s="110"/>
      <c r="H7" s="110"/>
      <c r="I7" s="110"/>
      <c r="J7" s="110"/>
      <c r="K7" s="98"/>
      <c r="L7" s="98"/>
      <c r="M7" s="98"/>
      <c r="N7" s="98"/>
      <c r="O7" s="98"/>
      <c r="P7" s="98"/>
      <c r="Q7" s="98"/>
      <c r="R7" s="98"/>
      <c r="S7" s="98"/>
      <c r="T7" s="98"/>
      <c r="U7" s="98"/>
      <c r="V7" s="98"/>
      <c r="W7" s="98"/>
      <c r="X7" s="98"/>
      <c r="Y7" s="98"/>
      <c r="Z7" s="98"/>
    </row>
    <row r="8" spans="1:26" ht="113.25" customHeight="1">
      <c r="A8" s="98"/>
      <c r="B8" s="101"/>
      <c r="C8" s="101"/>
      <c r="D8" s="101"/>
      <c r="E8" s="102"/>
      <c r="F8" s="101"/>
      <c r="G8" s="101"/>
      <c r="H8" s="101"/>
      <c r="I8" s="101"/>
      <c r="J8" s="101"/>
      <c r="K8" s="98"/>
      <c r="L8" s="98"/>
      <c r="M8" s="98"/>
      <c r="N8" s="98"/>
      <c r="O8" s="98"/>
      <c r="P8" s="98"/>
      <c r="Q8" s="98"/>
      <c r="R8" s="98"/>
      <c r="S8" s="98"/>
      <c r="T8" s="98"/>
      <c r="U8" s="98"/>
      <c r="V8" s="98"/>
      <c r="W8" s="98"/>
      <c r="X8" s="98"/>
      <c r="Y8" s="98"/>
      <c r="Z8" s="98"/>
    </row>
    <row r="9" spans="1:26" ht="56.25" customHeight="1">
      <c r="A9" s="98"/>
      <c r="B9" s="98"/>
      <c r="C9" s="98"/>
      <c r="D9" s="98"/>
      <c r="E9" s="98"/>
      <c r="F9" s="98"/>
      <c r="G9" s="98"/>
      <c r="H9" s="98"/>
      <c r="I9" s="98"/>
      <c r="J9" s="98"/>
      <c r="K9" s="98"/>
      <c r="L9" s="98"/>
      <c r="M9" s="98"/>
      <c r="N9" s="98"/>
      <c r="O9" s="98"/>
      <c r="P9" s="98"/>
      <c r="Q9" s="98"/>
      <c r="R9" s="98"/>
      <c r="S9" s="98"/>
      <c r="T9" s="98"/>
      <c r="U9" s="98"/>
      <c r="V9" s="98"/>
      <c r="W9" s="98"/>
      <c r="X9" s="98"/>
      <c r="Y9" s="98"/>
      <c r="Z9" s="98"/>
    </row>
    <row r="10" spans="1:26" ht="17.25" customHeight="1">
      <c r="A10" s="98"/>
      <c r="B10" s="104"/>
      <c r="C10" s="103"/>
      <c r="D10" s="103"/>
      <c r="E10" s="103"/>
      <c r="F10" s="103"/>
      <c r="G10" s="103"/>
      <c r="H10" s="103"/>
      <c r="I10" s="103"/>
      <c r="J10" s="103"/>
      <c r="K10" s="98"/>
      <c r="L10" s="98"/>
      <c r="M10" s="98"/>
      <c r="N10" s="98"/>
      <c r="O10" s="98"/>
      <c r="P10" s="98"/>
      <c r="Q10" s="98"/>
      <c r="R10" s="98"/>
      <c r="S10" s="98"/>
      <c r="T10" s="98"/>
      <c r="U10" s="98"/>
      <c r="V10" s="98"/>
      <c r="W10" s="98"/>
      <c r="X10" s="98"/>
      <c r="Y10" s="98"/>
      <c r="Z10" s="98"/>
    </row>
    <row r="11" spans="1:26" ht="55.15" customHeight="1">
      <c r="A11" s="98"/>
      <c r="B11" s="105" t="s">
        <v>109</v>
      </c>
      <c r="C11" s="105"/>
      <c r="D11" s="105"/>
      <c r="E11" s="105"/>
      <c r="F11" s="105"/>
      <c r="G11" s="105"/>
      <c r="H11" s="105"/>
      <c r="I11" s="105"/>
      <c r="J11" s="105"/>
      <c r="K11" s="98"/>
      <c r="L11" s="98"/>
      <c r="M11" s="98"/>
      <c r="N11" s="98"/>
      <c r="O11" s="98"/>
      <c r="P11" s="98"/>
      <c r="Q11" s="98"/>
      <c r="R11" s="98"/>
      <c r="S11" s="98"/>
      <c r="T11" s="98"/>
      <c r="U11" s="98"/>
      <c r="V11" s="98"/>
      <c r="W11" s="98"/>
      <c r="X11" s="98"/>
      <c r="Y11" s="98"/>
      <c r="Z11" s="98"/>
    </row>
    <row r="12" spans="1:26" ht="12.75" customHeight="1">
      <c r="A12" s="98"/>
      <c r="B12" s="105"/>
      <c r="C12" s="105"/>
      <c r="D12" s="105"/>
      <c r="E12" s="105"/>
      <c r="F12" s="105"/>
      <c r="G12" s="105"/>
      <c r="H12" s="105"/>
      <c r="I12" s="105"/>
      <c r="J12" s="105"/>
      <c r="K12" s="98"/>
      <c r="L12" s="98"/>
      <c r="M12" s="98"/>
      <c r="N12" s="98"/>
      <c r="O12" s="98"/>
      <c r="P12" s="98"/>
      <c r="Q12" s="98"/>
      <c r="R12" s="98"/>
      <c r="S12" s="98"/>
      <c r="T12" s="98"/>
      <c r="U12" s="98"/>
      <c r="V12" s="98"/>
      <c r="W12" s="98"/>
      <c r="X12" s="98"/>
      <c r="Y12" s="98"/>
      <c r="Z12" s="98"/>
    </row>
    <row r="13" spans="1:26" ht="37.5" customHeight="1">
      <c r="A13" s="98"/>
      <c r="B13" s="105" t="s">
        <v>111</v>
      </c>
      <c r="C13" s="105"/>
      <c r="D13" s="105"/>
      <c r="E13" s="105"/>
      <c r="F13" s="105"/>
      <c r="G13" s="105"/>
      <c r="H13" s="105"/>
      <c r="I13" s="105"/>
      <c r="J13" s="105"/>
      <c r="K13" s="98"/>
      <c r="L13" s="98"/>
      <c r="M13" s="98"/>
      <c r="N13" s="98"/>
      <c r="O13" s="98"/>
      <c r="P13" s="98"/>
      <c r="Q13" s="98"/>
      <c r="R13" s="98"/>
      <c r="S13" s="98"/>
      <c r="T13" s="98"/>
      <c r="U13" s="98"/>
      <c r="V13" s="98"/>
      <c r="W13" s="98"/>
      <c r="X13" s="98"/>
      <c r="Y13" s="98"/>
      <c r="Z13" s="98"/>
    </row>
    <row r="14" spans="1:26" ht="12.75" customHeight="1">
      <c r="A14" s="98"/>
      <c r="B14" s="98"/>
      <c r="C14" s="98"/>
      <c r="D14" s="98"/>
      <c r="E14" s="98"/>
      <c r="F14" s="98"/>
      <c r="G14" s="98"/>
      <c r="H14" s="98"/>
      <c r="I14" s="98"/>
      <c r="J14" s="98"/>
      <c r="K14" s="98"/>
      <c r="L14" s="98"/>
      <c r="M14" s="98"/>
      <c r="N14" s="98"/>
      <c r="O14" s="98"/>
      <c r="P14" s="98"/>
      <c r="Q14" s="98"/>
      <c r="R14" s="98"/>
      <c r="S14" s="98"/>
      <c r="T14" s="98"/>
      <c r="U14" s="98"/>
      <c r="V14" s="98"/>
      <c r="W14" s="98"/>
      <c r="X14" s="98"/>
      <c r="Y14" s="98"/>
      <c r="Z14" s="98"/>
    </row>
    <row r="15" spans="1:26" ht="12.75" customHeight="1">
      <c r="A15" s="98"/>
      <c r="B15" s="98"/>
      <c r="C15" s="98"/>
      <c r="D15" s="98"/>
      <c r="E15" s="98"/>
      <c r="F15" s="98"/>
      <c r="G15" s="98"/>
      <c r="H15" s="98"/>
      <c r="I15" s="98"/>
      <c r="J15" s="98"/>
      <c r="K15" s="98"/>
      <c r="L15" s="98"/>
      <c r="M15" s="98"/>
      <c r="N15" s="98"/>
      <c r="O15" s="98"/>
      <c r="P15" s="98"/>
      <c r="Q15" s="98"/>
      <c r="R15" s="98"/>
      <c r="S15" s="98"/>
      <c r="T15" s="98"/>
      <c r="U15" s="98"/>
      <c r="V15" s="98"/>
      <c r="W15" s="98"/>
      <c r="X15" s="98"/>
      <c r="Y15" s="98"/>
      <c r="Z15" s="98"/>
    </row>
    <row r="16" spans="1:26" ht="12.75" customHeight="1">
      <c r="A16" s="98"/>
      <c r="B16" s="98"/>
      <c r="C16" s="98"/>
      <c r="D16" s="98"/>
      <c r="E16" s="98"/>
      <c r="F16" s="98"/>
      <c r="G16" s="98"/>
      <c r="H16" s="98"/>
      <c r="I16" s="98"/>
      <c r="J16" s="98"/>
      <c r="K16" s="98"/>
      <c r="L16" s="98"/>
      <c r="M16" s="98"/>
      <c r="N16" s="98"/>
      <c r="O16" s="98"/>
      <c r="P16" s="98"/>
      <c r="Q16" s="98"/>
      <c r="R16" s="98"/>
      <c r="S16" s="98"/>
      <c r="T16" s="98"/>
      <c r="U16" s="98"/>
      <c r="V16" s="98"/>
      <c r="W16" s="98"/>
      <c r="X16" s="98"/>
      <c r="Y16" s="98"/>
      <c r="Z16" s="98"/>
    </row>
    <row r="17" spans="1:26" ht="12.75" customHeight="1">
      <c r="A17" s="98"/>
      <c r="B17" s="98"/>
      <c r="C17" s="98"/>
      <c r="D17" s="98"/>
      <c r="E17" s="98"/>
      <c r="F17" s="98"/>
      <c r="G17" s="98"/>
      <c r="H17" s="98"/>
      <c r="I17" s="98"/>
      <c r="J17" s="98"/>
      <c r="K17" s="98"/>
      <c r="L17" s="98"/>
      <c r="M17" s="98"/>
      <c r="N17" s="98"/>
      <c r="O17" s="98"/>
      <c r="P17" s="98"/>
      <c r="Q17" s="98"/>
      <c r="R17" s="98"/>
      <c r="S17" s="98"/>
      <c r="T17" s="98"/>
      <c r="U17" s="98"/>
      <c r="V17" s="98"/>
      <c r="W17" s="98"/>
      <c r="X17" s="98"/>
      <c r="Y17" s="98"/>
      <c r="Z17" s="98"/>
    </row>
    <row r="18" spans="1:26" ht="12.75" customHeight="1">
      <c r="A18" s="98"/>
      <c r="B18" s="98"/>
      <c r="C18" s="98"/>
      <c r="D18" s="98"/>
      <c r="E18" s="98"/>
      <c r="F18" s="98"/>
      <c r="G18" s="98"/>
      <c r="H18" s="98"/>
      <c r="I18" s="98"/>
      <c r="J18" s="98"/>
      <c r="K18" s="98"/>
      <c r="L18" s="98"/>
      <c r="M18" s="98"/>
      <c r="N18" s="98"/>
      <c r="O18" s="98"/>
      <c r="P18" s="98"/>
      <c r="Q18" s="98"/>
      <c r="R18" s="98"/>
      <c r="S18" s="98"/>
      <c r="T18" s="98"/>
      <c r="U18" s="98"/>
      <c r="V18" s="98"/>
      <c r="W18" s="98"/>
      <c r="X18" s="98"/>
      <c r="Y18" s="98"/>
      <c r="Z18" s="98"/>
    </row>
    <row r="19" spans="1:26" ht="12.75" customHeight="1">
      <c r="A19" s="98"/>
      <c r="B19" s="98"/>
      <c r="C19" s="98"/>
      <c r="D19" s="98"/>
      <c r="E19" s="98"/>
      <c r="F19" s="98"/>
      <c r="G19" s="98"/>
      <c r="H19" s="98"/>
      <c r="I19" s="98"/>
      <c r="J19" s="98"/>
      <c r="K19" s="98"/>
      <c r="L19" s="98"/>
      <c r="M19" s="98"/>
      <c r="N19" s="98"/>
      <c r="O19" s="98"/>
      <c r="P19" s="98"/>
      <c r="Q19" s="98"/>
      <c r="R19" s="98"/>
      <c r="S19" s="98"/>
      <c r="T19" s="98"/>
      <c r="U19" s="98"/>
      <c r="V19" s="98"/>
      <c r="W19" s="98"/>
      <c r="X19" s="98"/>
      <c r="Y19" s="98"/>
      <c r="Z19" s="98"/>
    </row>
    <row r="20" spans="1:26" ht="12.75" customHeight="1">
      <c r="A20" s="98"/>
      <c r="B20" s="98"/>
      <c r="C20" s="98"/>
      <c r="D20" s="98"/>
      <c r="E20" s="98"/>
      <c r="F20" s="98"/>
      <c r="G20" s="98"/>
      <c r="H20" s="98"/>
      <c r="I20" s="98"/>
      <c r="J20" s="98"/>
      <c r="K20" s="98"/>
      <c r="L20" s="98"/>
      <c r="M20" s="98"/>
      <c r="N20" s="98"/>
      <c r="O20" s="98"/>
      <c r="P20" s="98"/>
      <c r="Q20" s="98"/>
      <c r="R20" s="98"/>
      <c r="S20" s="98"/>
      <c r="T20" s="98"/>
      <c r="U20" s="98"/>
      <c r="V20" s="98"/>
      <c r="W20" s="98"/>
      <c r="X20" s="98"/>
      <c r="Y20" s="98"/>
      <c r="Z20" s="98"/>
    </row>
    <row r="21" spans="1:26" ht="12.75" customHeight="1">
      <c r="A21" s="98"/>
      <c r="B21" s="98"/>
      <c r="C21" s="98"/>
      <c r="D21" s="98"/>
      <c r="E21" s="98"/>
      <c r="F21" s="98"/>
      <c r="G21" s="98"/>
      <c r="H21" s="98"/>
      <c r="I21" s="98"/>
      <c r="J21" s="98"/>
      <c r="K21" s="98"/>
      <c r="L21" s="98"/>
      <c r="M21" s="98"/>
      <c r="N21" s="98"/>
      <c r="O21" s="98"/>
      <c r="P21" s="98"/>
      <c r="Q21" s="98"/>
      <c r="R21" s="98"/>
      <c r="S21" s="98"/>
      <c r="T21" s="98"/>
      <c r="U21" s="98"/>
      <c r="V21" s="98"/>
      <c r="W21" s="98"/>
      <c r="X21" s="98"/>
      <c r="Y21" s="98"/>
      <c r="Z21" s="98"/>
    </row>
    <row r="22" spans="1:26" ht="12.75" customHeight="1">
      <c r="A22" s="98"/>
      <c r="B22" s="98"/>
      <c r="C22" s="98"/>
      <c r="D22" s="98"/>
      <c r="E22" s="98"/>
      <c r="F22" s="98"/>
      <c r="G22" s="98"/>
      <c r="H22" s="98"/>
      <c r="I22" s="98"/>
      <c r="J22" s="98"/>
      <c r="K22" s="98"/>
      <c r="L22" s="98"/>
      <c r="M22" s="98"/>
      <c r="N22" s="98"/>
      <c r="O22" s="98"/>
      <c r="P22" s="98"/>
      <c r="Q22" s="98"/>
      <c r="R22" s="98"/>
      <c r="S22" s="98"/>
      <c r="T22" s="98"/>
      <c r="U22" s="98"/>
      <c r="V22" s="98"/>
      <c r="W22" s="98"/>
      <c r="X22" s="98"/>
      <c r="Y22" s="98"/>
      <c r="Z22" s="98"/>
    </row>
    <row r="23" spans="1:26" ht="12.75" customHeight="1">
      <c r="A23" s="98"/>
      <c r="B23" s="98"/>
      <c r="C23" s="98"/>
      <c r="D23" s="98"/>
      <c r="E23" s="98"/>
      <c r="F23" s="98"/>
      <c r="G23" s="98"/>
      <c r="H23" s="98"/>
      <c r="I23" s="98"/>
      <c r="J23" s="98"/>
      <c r="K23" s="98"/>
      <c r="L23" s="98"/>
      <c r="M23" s="98"/>
      <c r="N23" s="98"/>
      <c r="O23" s="98"/>
      <c r="P23" s="98"/>
      <c r="Q23" s="98"/>
      <c r="R23" s="98"/>
      <c r="S23" s="98"/>
      <c r="T23" s="98"/>
      <c r="U23" s="98"/>
      <c r="V23" s="98"/>
      <c r="W23" s="98"/>
      <c r="X23" s="98"/>
      <c r="Y23" s="98"/>
      <c r="Z23" s="98"/>
    </row>
    <row r="24" spans="1:26" ht="12.75" customHeight="1">
      <c r="A24" s="98"/>
      <c r="B24" s="98"/>
      <c r="C24" s="98"/>
      <c r="D24" s="98"/>
      <c r="E24" s="98"/>
      <c r="F24" s="98"/>
      <c r="G24" s="98"/>
      <c r="H24" s="98"/>
      <c r="I24" s="98"/>
      <c r="J24" s="98"/>
      <c r="K24" s="98"/>
      <c r="L24" s="98"/>
      <c r="M24" s="98"/>
      <c r="N24" s="98"/>
      <c r="O24" s="98"/>
      <c r="P24" s="98"/>
      <c r="Q24" s="98"/>
      <c r="R24" s="98"/>
      <c r="S24" s="98"/>
      <c r="T24" s="98"/>
      <c r="U24" s="98"/>
      <c r="V24" s="98"/>
      <c r="W24" s="98"/>
      <c r="X24" s="98"/>
      <c r="Y24" s="98"/>
      <c r="Z24" s="98"/>
    </row>
    <row r="25" spans="1:26" ht="12.75" customHeight="1">
      <c r="A25" s="98"/>
      <c r="B25" s="98"/>
      <c r="C25" s="98"/>
      <c r="D25" s="98"/>
      <c r="E25" s="98"/>
      <c r="F25" s="98"/>
      <c r="G25" s="98"/>
      <c r="H25" s="98"/>
      <c r="I25" s="98"/>
      <c r="J25" s="98"/>
      <c r="K25" s="98"/>
      <c r="L25" s="98"/>
      <c r="M25" s="98"/>
      <c r="N25" s="98"/>
      <c r="O25" s="98"/>
      <c r="P25" s="98"/>
      <c r="Q25" s="98"/>
      <c r="R25" s="98"/>
      <c r="S25" s="98"/>
      <c r="T25" s="98"/>
      <c r="U25" s="98"/>
      <c r="V25" s="98"/>
      <c r="W25" s="98"/>
      <c r="X25" s="98"/>
      <c r="Y25" s="98"/>
      <c r="Z25" s="98"/>
    </row>
    <row r="26" spans="1:26" ht="12.75" customHeight="1">
      <c r="A26" s="98"/>
      <c r="B26" s="98"/>
      <c r="C26" s="98"/>
      <c r="D26" s="98"/>
      <c r="E26" s="98"/>
      <c r="F26" s="98"/>
      <c r="G26" s="98"/>
      <c r="H26" s="98"/>
      <c r="I26" s="98"/>
      <c r="J26" s="98"/>
      <c r="K26" s="98"/>
      <c r="L26" s="98"/>
      <c r="M26" s="98"/>
      <c r="N26" s="98"/>
      <c r="O26" s="98"/>
      <c r="P26" s="98"/>
      <c r="Q26" s="98"/>
      <c r="R26" s="98"/>
      <c r="S26" s="98"/>
      <c r="T26" s="98"/>
      <c r="U26" s="98"/>
      <c r="V26" s="98"/>
      <c r="W26" s="98"/>
      <c r="X26" s="98"/>
      <c r="Y26" s="98"/>
      <c r="Z26" s="98"/>
    </row>
    <row r="27" spans="1:26" ht="12.75" customHeight="1">
      <c r="A27" s="98"/>
      <c r="B27" s="98"/>
      <c r="C27" s="98"/>
      <c r="D27" s="98"/>
      <c r="E27" s="98"/>
      <c r="F27" s="98"/>
      <c r="G27" s="98"/>
      <c r="H27" s="98"/>
      <c r="I27" s="98"/>
      <c r="J27" s="98"/>
      <c r="K27" s="98"/>
      <c r="L27" s="98"/>
      <c r="M27" s="98"/>
      <c r="N27" s="98"/>
      <c r="O27" s="98"/>
      <c r="P27" s="98"/>
      <c r="Q27" s="98"/>
      <c r="R27" s="98"/>
      <c r="S27" s="98"/>
      <c r="T27" s="98"/>
      <c r="U27" s="98"/>
      <c r="V27" s="98"/>
      <c r="W27" s="98"/>
      <c r="X27" s="98"/>
      <c r="Y27" s="98"/>
      <c r="Z27" s="98"/>
    </row>
    <row r="28" spans="1:26" ht="12.75" customHeight="1">
      <c r="A28" s="98"/>
      <c r="B28" s="98"/>
      <c r="C28" s="98"/>
      <c r="D28" s="98"/>
      <c r="E28" s="98"/>
      <c r="F28" s="98"/>
      <c r="G28" s="98"/>
      <c r="H28" s="98"/>
      <c r="I28" s="98"/>
      <c r="J28" s="98"/>
      <c r="K28" s="98"/>
      <c r="L28" s="98"/>
      <c r="M28" s="98"/>
      <c r="N28" s="98"/>
      <c r="O28" s="98"/>
      <c r="P28" s="98"/>
      <c r="Q28" s="98"/>
      <c r="R28" s="98"/>
      <c r="S28" s="98"/>
      <c r="T28" s="98"/>
      <c r="U28" s="98"/>
      <c r="V28" s="98"/>
      <c r="W28" s="98"/>
      <c r="X28" s="98"/>
      <c r="Y28" s="98"/>
      <c r="Z28" s="98"/>
    </row>
    <row r="29" spans="1:26" ht="12.75" customHeight="1">
      <c r="A29" s="98"/>
      <c r="B29" s="98"/>
      <c r="C29" s="98"/>
      <c r="D29" s="98"/>
      <c r="E29" s="98"/>
      <c r="F29" s="98"/>
      <c r="G29" s="98"/>
      <c r="H29" s="98"/>
      <c r="I29" s="98"/>
      <c r="J29" s="98"/>
      <c r="K29" s="98"/>
      <c r="L29" s="98"/>
      <c r="M29" s="98"/>
      <c r="N29" s="98"/>
      <c r="O29" s="98"/>
      <c r="P29" s="98"/>
      <c r="Q29" s="98"/>
      <c r="R29" s="98"/>
      <c r="S29" s="98"/>
      <c r="T29" s="98"/>
      <c r="U29" s="98"/>
      <c r="V29" s="98"/>
      <c r="W29" s="98"/>
      <c r="X29" s="98"/>
      <c r="Y29" s="98"/>
      <c r="Z29" s="98"/>
    </row>
    <row r="30" spans="1:26" ht="12.75" customHeight="1">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row>
    <row r="31" spans="1:26" ht="12.75" customHeight="1">
      <c r="A31" s="98"/>
      <c r="B31" s="98"/>
      <c r="C31" s="98"/>
      <c r="D31" s="98"/>
      <c r="E31" s="98"/>
      <c r="F31" s="98"/>
      <c r="G31" s="98"/>
      <c r="H31" s="98"/>
      <c r="I31" s="98"/>
      <c r="J31" s="98"/>
      <c r="K31" s="98"/>
      <c r="L31" s="98"/>
      <c r="M31" s="98"/>
      <c r="N31" s="98"/>
      <c r="O31" s="98"/>
      <c r="P31" s="98"/>
      <c r="Q31" s="98"/>
      <c r="R31" s="98"/>
      <c r="S31" s="98"/>
      <c r="T31" s="98"/>
      <c r="U31" s="98"/>
      <c r="V31" s="98"/>
      <c r="W31" s="98"/>
      <c r="X31" s="98"/>
      <c r="Y31" s="98"/>
      <c r="Z31" s="98"/>
    </row>
    <row r="32" spans="1:26" ht="12.75" customHeight="1">
      <c r="A32" s="98"/>
      <c r="B32" s="98"/>
      <c r="C32" s="98"/>
      <c r="D32" s="98"/>
      <c r="E32" s="98"/>
      <c r="F32" s="98"/>
      <c r="G32" s="98"/>
      <c r="H32" s="98"/>
      <c r="I32" s="98"/>
      <c r="J32" s="98"/>
      <c r="K32" s="98"/>
      <c r="L32" s="98"/>
      <c r="M32" s="98"/>
      <c r="N32" s="98"/>
      <c r="O32" s="98"/>
      <c r="P32" s="98"/>
      <c r="Q32" s="98"/>
      <c r="R32" s="98"/>
      <c r="S32" s="98"/>
      <c r="T32" s="98"/>
      <c r="U32" s="98"/>
      <c r="V32" s="98"/>
      <c r="W32" s="98"/>
      <c r="X32" s="98"/>
      <c r="Y32" s="98"/>
      <c r="Z32" s="98"/>
    </row>
    <row r="33" spans="1:26" ht="12.75" customHeight="1">
      <c r="A33" s="98"/>
      <c r="B33" s="98"/>
      <c r="C33" s="98"/>
      <c r="D33" s="98"/>
      <c r="E33" s="98"/>
      <c r="F33" s="98"/>
      <c r="G33" s="98"/>
      <c r="H33" s="98"/>
      <c r="I33" s="98"/>
      <c r="J33" s="98"/>
      <c r="K33" s="98"/>
      <c r="L33" s="98"/>
      <c r="M33" s="98"/>
      <c r="N33" s="98"/>
      <c r="O33" s="98"/>
      <c r="P33" s="98"/>
      <c r="Q33" s="98"/>
      <c r="R33" s="98"/>
      <c r="S33" s="98"/>
      <c r="T33" s="98"/>
      <c r="U33" s="98"/>
      <c r="V33" s="98"/>
      <c r="W33" s="98"/>
      <c r="X33" s="98"/>
      <c r="Y33" s="98"/>
      <c r="Z33" s="98"/>
    </row>
    <row r="34" spans="1:26" ht="12.75" customHeight="1">
      <c r="A34" s="98"/>
      <c r="B34" s="98"/>
      <c r="C34" s="98"/>
      <c r="D34" s="98"/>
      <c r="E34" s="98"/>
      <c r="F34" s="98"/>
      <c r="G34" s="98"/>
      <c r="H34" s="98"/>
      <c r="I34" s="98"/>
      <c r="J34" s="98"/>
      <c r="K34" s="98"/>
      <c r="L34" s="98"/>
      <c r="M34" s="98"/>
      <c r="N34" s="98"/>
      <c r="O34" s="98"/>
      <c r="P34" s="98"/>
      <c r="Q34" s="98"/>
      <c r="R34" s="98"/>
      <c r="S34" s="98"/>
      <c r="T34" s="98"/>
      <c r="U34" s="98"/>
      <c r="V34" s="98"/>
      <c r="W34" s="98"/>
      <c r="X34" s="98"/>
      <c r="Y34" s="98"/>
      <c r="Z34" s="98"/>
    </row>
    <row r="35" spans="1:26" ht="12.75" customHeight="1">
      <c r="A35" s="98"/>
      <c r="B35" s="98"/>
      <c r="C35" s="98"/>
      <c r="D35" s="98"/>
      <c r="E35" s="98"/>
      <c r="F35" s="98"/>
      <c r="G35" s="98"/>
      <c r="H35" s="98"/>
      <c r="I35" s="98"/>
      <c r="J35" s="98"/>
      <c r="K35" s="98"/>
      <c r="L35" s="98"/>
      <c r="M35" s="98"/>
      <c r="N35" s="98"/>
      <c r="O35" s="98"/>
      <c r="P35" s="98"/>
      <c r="Q35" s="98"/>
      <c r="R35" s="98"/>
      <c r="S35" s="98"/>
      <c r="T35" s="98"/>
      <c r="U35" s="98"/>
      <c r="V35" s="98"/>
      <c r="W35" s="98"/>
      <c r="X35" s="98"/>
      <c r="Y35" s="98"/>
      <c r="Z35" s="98"/>
    </row>
    <row r="36" spans="1:26" ht="12.75" customHeight="1">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row>
    <row r="37" spans="1:26" ht="12.75" customHeight="1">
      <c r="A37" s="98"/>
      <c r="B37" s="98"/>
      <c r="C37" s="98"/>
      <c r="D37" s="98"/>
      <c r="E37" s="98"/>
      <c r="F37" s="98"/>
      <c r="G37" s="98"/>
      <c r="H37" s="98"/>
      <c r="I37" s="98"/>
      <c r="J37" s="98"/>
      <c r="K37" s="98"/>
      <c r="L37" s="98"/>
      <c r="M37" s="98"/>
      <c r="N37" s="98"/>
      <c r="O37" s="98"/>
      <c r="P37" s="98"/>
      <c r="Q37" s="98"/>
      <c r="R37" s="98"/>
      <c r="S37" s="98"/>
      <c r="T37" s="98"/>
      <c r="U37" s="98"/>
      <c r="V37" s="98"/>
      <c r="W37" s="98"/>
      <c r="X37" s="98"/>
      <c r="Y37" s="98"/>
      <c r="Z37" s="98"/>
    </row>
    <row r="38" spans="1:26" ht="12.75" customHeight="1">
      <c r="A38" s="98"/>
      <c r="B38" s="98"/>
      <c r="C38" s="98"/>
      <c r="D38" s="98"/>
      <c r="E38" s="98"/>
      <c r="F38" s="98"/>
      <c r="G38" s="98"/>
      <c r="H38" s="98"/>
      <c r="I38" s="98"/>
      <c r="J38" s="98"/>
      <c r="K38" s="98"/>
      <c r="L38" s="98"/>
      <c r="M38" s="98"/>
      <c r="N38" s="98"/>
      <c r="O38" s="98"/>
      <c r="P38" s="98"/>
      <c r="Q38" s="98"/>
      <c r="R38" s="98"/>
      <c r="S38" s="98"/>
      <c r="T38" s="98"/>
      <c r="U38" s="98"/>
      <c r="V38" s="98"/>
      <c r="W38" s="98"/>
      <c r="X38" s="98"/>
      <c r="Y38" s="98"/>
      <c r="Z38" s="98"/>
    </row>
    <row r="39" spans="1:26" ht="12.75" customHeight="1">
      <c r="A39" s="98"/>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spans="1:26" ht="12.75" customHeight="1">
      <c r="A40" s="98"/>
      <c r="B40" s="98"/>
      <c r="C40" s="98"/>
      <c r="D40" s="98"/>
      <c r="E40" s="98"/>
      <c r="F40" s="98"/>
      <c r="G40" s="98"/>
      <c r="H40" s="98"/>
      <c r="I40" s="98"/>
      <c r="J40" s="98"/>
      <c r="K40" s="98"/>
      <c r="L40" s="98"/>
      <c r="M40" s="98"/>
      <c r="N40" s="98"/>
      <c r="O40" s="98"/>
      <c r="P40" s="98"/>
      <c r="Q40" s="98"/>
      <c r="R40" s="98"/>
      <c r="S40" s="98"/>
      <c r="T40" s="98"/>
      <c r="U40" s="98"/>
      <c r="V40" s="98"/>
      <c r="W40" s="98"/>
      <c r="X40" s="98"/>
      <c r="Y40" s="98"/>
      <c r="Z40" s="98"/>
    </row>
    <row r="41" spans="1:26" ht="12.75" customHeight="1">
      <c r="A41" s="98"/>
      <c r="B41" s="98"/>
      <c r="C41" s="98"/>
      <c r="D41" s="98"/>
      <c r="E41" s="98"/>
      <c r="F41" s="98"/>
      <c r="G41" s="98"/>
      <c r="H41" s="98"/>
      <c r="I41" s="98"/>
      <c r="J41" s="98"/>
      <c r="K41" s="98"/>
      <c r="L41" s="98"/>
      <c r="M41" s="98"/>
      <c r="N41" s="98"/>
      <c r="O41" s="98"/>
      <c r="P41" s="98"/>
      <c r="Q41" s="98"/>
      <c r="R41" s="98"/>
      <c r="S41" s="98"/>
      <c r="T41" s="98"/>
      <c r="U41" s="98"/>
      <c r="V41" s="98"/>
      <c r="W41" s="98"/>
      <c r="X41" s="98"/>
      <c r="Y41" s="98"/>
      <c r="Z41" s="98"/>
    </row>
    <row r="42" spans="1:26" ht="12.75" customHeight="1">
      <c r="A42" s="98"/>
      <c r="B42" s="98"/>
      <c r="C42" s="98"/>
      <c r="D42" s="98"/>
      <c r="E42" s="98"/>
      <c r="F42" s="98"/>
      <c r="G42" s="98"/>
      <c r="H42" s="98"/>
      <c r="I42" s="98"/>
      <c r="J42" s="98"/>
      <c r="K42" s="98"/>
      <c r="L42" s="98"/>
      <c r="M42" s="98"/>
      <c r="N42" s="98"/>
      <c r="O42" s="98"/>
      <c r="P42" s="98"/>
      <c r="Q42" s="98"/>
      <c r="R42" s="98"/>
      <c r="S42" s="98"/>
      <c r="T42" s="98"/>
      <c r="U42" s="98"/>
      <c r="V42" s="98"/>
      <c r="W42" s="98"/>
      <c r="X42" s="98"/>
      <c r="Y42" s="98"/>
      <c r="Z42" s="98"/>
    </row>
    <row r="43" spans="1:26" ht="12.75" customHeight="1">
      <c r="A43" s="98"/>
      <c r="B43" s="98"/>
      <c r="C43" s="98"/>
      <c r="D43" s="98"/>
      <c r="E43" s="98"/>
      <c r="F43" s="98"/>
      <c r="G43" s="98"/>
      <c r="H43" s="98"/>
      <c r="I43" s="98"/>
      <c r="J43" s="98"/>
      <c r="K43" s="98"/>
      <c r="L43" s="98"/>
      <c r="M43" s="98"/>
      <c r="N43" s="98"/>
      <c r="O43" s="98"/>
      <c r="P43" s="98"/>
      <c r="Q43" s="98"/>
      <c r="R43" s="98"/>
      <c r="S43" s="98"/>
      <c r="T43" s="98"/>
      <c r="U43" s="98"/>
      <c r="V43" s="98"/>
      <c r="W43" s="98"/>
      <c r="X43" s="98"/>
      <c r="Y43" s="98"/>
      <c r="Z43" s="98"/>
    </row>
    <row r="44" spans="1:26" ht="12.75" customHeight="1">
      <c r="A44" s="98"/>
      <c r="B44" s="98"/>
      <c r="C44" s="98"/>
      <c r="D44" s="98"/>
      <c r="E44" s="98"/>
      <c r="F44" s="98"/>
      <c r="G44" s="98"/>
      <c r="H44" s="98"/>
      <c r="I44" s="98"/>
      <c r="J44" s="98"/>
      <c r="K44" s="98"/>
      <c r="L44" s="98"/>
      <c r="M44" s="98"/>
      <c r="N44" s="98"/>
      <c r="O44" s="98"/>
      <c r="P44" s="98"/>
      <c r="Q44" s="98"/>
      <c r="R44" s="98"/>
      <c r="S44" s="98"/>
      <c r="T44" s="98"/>
      <c r="U44" s="98"/>
      <c r="V44" s="98"/>
      <c r="W44" s="98"/>
      <c r="X44" s="98"/>
      <c r="Y44" s="98"/>
      <c r="Z44" s="98"/>
    </row>
    <row r="45" spans="1:26" ht="12.75" customHeight="1">
      <c r="A45" s="98"/>
      <c r="B45" s="98"/>
      <c r="C45" s="98"/>
      <c r="D45" s="98"/>
      <c r="E45" s="98"/>
      <c r="F45" s="98"/>
      <c r="G45" s="98"/>
      <c r="H45" s="98"/>
      <c r="I45" s="98"/>
      <c r="J45" s="98"/>
      <c r="K45" s="98"/>
      <c r="L45" s="98"/>
      <c r="M45" s="98"/>
      <c r="N45" s="98"/>
      <c r="O45" s="98"/>
      <c r="P45" s="98"/>
      <c r="Q45" s="98"/>
      <c r="R45" s="98"/>
      <c r="S45" s="98"/>
      <c r="T45" s="98"/>
      <c r="U45" s="98"/>
      <c r="V45" s="98"/>
      <c r="W45" s="98"/>
      <c r="X45" s="98"/>
      <c r="Y45" s="98"/>
      <c r="Z45" s="98"/>
    </row>
    <row r="46" spans="1:26" ht="12.75" customHeight="1">
      <c r="A46" s="98"/>
      <c r="B46" s="98"/>
      <c r="C46" s="98"/>
      <c r="D46" s="98"/>
      <c r="E46" s="98"/>
      <c r="F46" s="98"/>
      <c r="G46" s="98"/>
      <c r="H46" s="98"/>
      <c r="I46" s="98"/>
      <c r="J46" s="98"/>
      <c r="K46" s="98"/>
      <c r="L46" s="98"/>
      <c r="M46" s="98"/>
      <c r="N46" s="98"/>
      <c r="O46" s="98"/>
      <c r="P46" s="98"/>
      <c r="Q46" s="98"/>
      <c r="R46" s="98"/>
      <c r="S46" s="98"/>
      <c r="T46" s="98"/>
      <c r="U46" s="98"/>
      <c r="V46" s="98"/>
      <c r="W46" s="98"/>
      <c r="X46" s="98"/>
      <c r="Y46" s="98"/>
      <c r="Z46" s="98"/>
    </row>
    <row r="47" spans="1:26" ht="12.75" customHeight="1">
      <c r="A47" s="98"/>
      <c r="B47" s="98"/>
      <c r="C47" s="98"/>
      <c r="D47" s="98"/>
      <c r="E47" s="98"/>
      <c r="F47" s="98"/>
      <c r="G47" s="98"/>
      <c r="H47" s="98"/>
      <c r="I47" s="98"/>
      <c r="J47" s="98"/>
      <c r="K47" s="98"/>
      <c r="L47" s="98"/>
      <c r="M47" s="98"/>
      <c r="N47" s="98"/>
      <c r="O47" s="98"/>
      <c r="P47" s="98"/>
      <c r="Q47" s="98"/>
      <c r="R47" s="98"/>
      <c r="S47" s="98"/>
      <c r="T47" s="98"/>
      <c r="U47" s="98"/>
      <c r="V47" s="98"/>
      <c r="W47" s="98"/>
      <c r="X47" s="98"/>
      <c r="Y47" s="98"/>
      <c r="Z47" s="98"/>
    </row>
    <row r="48" spans="1:26" ht="12.75" customHeight="1">
      <c r="A48" s="98"/>
      <c r="B48" s="98"/>
      <c r="C48" s="98"/>
      <c r="D48" s="98"/>
      <c r="E48" s="98"/>
      <c r="F48" s="98"/>
      <c r="G48" s="98"/>
      <c r="H48" s="98"/>
      <c r="I48" s="98"/>
      <c r="J48" s="98"/>
      <c r="K48" s="98"/>
      <c r="L48" s="98"/>
      <c r="M48" s="98"/>
      <c r="N48" s="98"/>
      <c r="O48" s="98"/>
      <c r="P48" s="98"/>
      <c r="Q48" s="98"/>
      <c r="R48" s="98"/>
      <c r="S48" s="98"/>
      <c r="T48" s="98"/>
      <c r="U48" s="98"/>
      <c r="V48" s="98"/>
      <c r="W48" s="98"/>
      <c r="X48" s="98"/>
      <c r="Y48" s="98"/>
      <c r="Z48" s="98"/>
    </row>
    <row r="49" spans="1:26" ht="12.75" customHeight="1">
      <c r="A49" s="98"/>
      <c r="B49" s="98"/>
      <c r="C49" s="98"/>
      <c r="D49" s="98"/>
      <c r="E49" s="98"/>
      <c r="F49" s="98"/>
      <c r="G49" s="98"/>
      <c r="H49" s="98"/>
      <c r="I49" s="98"/>
      <c r="J49" s="98"/>
      <c r="K49" s="98"/>
      <c r="L49" s="98"/>
      <c r="M49" s="98"/>
      <c r="N49" s="98"/>
      <c r="O49" s="98"/>
      <c r="P49" s="98"/>
      <c r="Q49" s="98"/>
      <c r="R49" s="98"/>
      <c r="S49" s="98"/>
      <c r="T49" s="98"/>
      <c r="U49" s="98"/>
      <c r="V49" s="98"/>
      <c r="W49" s="98"/>
      <c r="X49" s="98"/>
      <c r="Y49" s="98"/>
      <c r="Z49" s="98"/>
    </row>
    <row r="50" spans="1:26" ht="12.75" customHeight="1">
      <c r="A50" s="98"/>
      <c r="B50" s="98"/>
      <c r="C50" s="98"/>
      <c r="D50" s="98"/>
      <c r="E50" s="98"/>
      <c r="F50" s="98"/>
      <c r="G50" s="98"/>
      <c r="H50" s="98"/>
      <c r="I50" s="98"/>
      <c r="J50" s="98"/>
      <c r="K50" s="98"/>
      <c r="L50" s="98"/>
      <c r="M50" s="98"/>
      <c r="N50" s="98"/>
      <c r="O50" s="98"/>
      <c r="P50" s="98"/>
      <c r="Q50" s="98"/>
      <c r="R50" s="98"/>
      <c r="S50" s="98"/>
      <c r="T50" s="98"/>
      <c r="U50" s="98"/>
      <c r="V50" s="98"/>
      <c r="W50" s="98"/>
      <c r="X50" s="98"/>
      <c r="Y50" s="98"/>
      <c r="Z50" s="98"/>
    </row>
    <row r="51" spans="1:26" ht="12.75" customHeight="1">
      <c r="A51" s="98"/>
      <c r="B51" s="98"/>
      <c r="C51" s="98"/>
      <c r="D51" s="98"/>
      <c r="E51" s="98"/>
      <c r="F51" s="98"/>
      <c r="G51" s="98"/>
      <c r="H51" s="98"/>
      <c r="I51" s="98"/>
      <c r="J51" s="98"/>
      <c r="K51" s="98"/>
      <c r="L51" s="98"/>
      <c r="M51" s="98"/>
      <c r="N51" s="98"/>
      <c r="O51" s="98"/>
      <c r="P51" s="98"/>
      <c r="Q51" s="98"/>
      <c r="R51" s="98"/>
      <c r="S51" s="98"/>
      <c r="T51" s="98"/>
      <c r="U51" s="98"/>
      <c r="V51" s="98"/>
      <c r="W51" s="98"/>
      <c r="X51" s="98"/>
      <c r="Y51" s="98"/>
      <c r="Z51" s="98"/>
    </row>
    <row r="52" spans="1:26" ht="12.75" customHeight="1">
      <c r="A52" s="98"/>
      <c r="B52" s="98"/>
      <c r="C52" s="98"/>
      <c r="D52" s="98"/>
      <c r="E52" s="98"/>
      <c r="F52" s="98"/>
      <c r="G52" s="98"/>
      <c r="H52" s="98"/>
      <c r="I52" s="98"/>
      <c r="J52" s="98"/>
      <c r="K52" s="98"/>
      <c r="L52" s="98"/>
      <c r="M52" s="98"/>
      <c r="N52" s="98"/>
      <c r="O52" s="98"/>
      <c r="P52" s="98"/>
      <c r="Q52" s="98"/>
      <c r="R52" s="98"/>
      <c r="S52" s="98"/>
      <c r="T52" s="98"/>
      <c r="U52" s="98"/>
      <c r="V52" s="98"/>
      <c r="W52" s="98"/>
      <c r="X52" s="98"/>
      <c r="Y52" s="98"/>
      <c r="Z52" s="98"/>
    </row>
    <row r="53" spans="1:26" ht="12.75" customHeight="1">
      <c r="A53" s="98"/>
      <c r="B53" s="98"/>
      <c r="C53" s="98"/>
      <c r="D53" s="98"/>
      <c r="E53" s="98"/>
      <c r="F53" s="98"/>
      <c r="G53" s="98"/>
      <c r="H53" s="98"/>
      <c r="I53" s="98"/>
      <c r="J53" s="98"/>
      <c r="K53" s="98"/>
      <c r="L53" s="98"/>
      <c r="M53" s="98"/>
      <c r="N53" s="98"/>
      <c r="O53" s="98"/>
      <c r="P53" s="98"/>
      <c r="Q53" s="98"/>
      <c r="R53" s="98"/>
      <c r="S53" s="98"/>
      <c r="T53" s="98"/>
      <c r="U53" s="98"/>
      <c r="V53" s="98"/>
      <c r="W53" s="98"/>
      <c r="X53" s="98"/>
      <c r="Y53" s="98"/>
      <c r="Z53" s="98"/>
    </row>
    <row r="54" spans="1:26" ht="12.75" customHeight="1">
      <c r="A54" s="98"/>
      <c r="B54" s="98"/>
      <c r="C54" s="98"/>
      <c r="D54" s="98"/>
      <c r="E54" s="98"/>
      <c r="F54" s="98"/>
      <c r="G54" s="98"/>
      <c r="H54" s="98"/>
      <c r="I54" s="98"/>
      <c r="J54" s="98"/>
      <c r="K54" s="98"/>
      <c r="L54" s="98"/>
      <c r="M54" s="98"/>
      <c r="N54" s="98"/>
      <c r="O54" s="98"/>
      <c r="P54" s="98"/>
      <c r="Q54" s="98"/>
      <c r="R54" s="98"/>
      <c r="S54" s="98"/>
      <c r="T54" s="98"/>
      <c r="U54" s="98"/>
      <c r="V54" s="98"/>
      <c r="W54" s="98"/>
      <c r="X54" s="98"/>
      <c r="Y54" s="98"/>
      <c r="Z54" s="98"/>
    </row>
    <row r="55" spans="1:26" ht="12.75" customHeight="1">
      <c r="A55" s="98"/>
      <c r="B55" s="98"/>
      <c r="C55" s="98"/>
      <c r="D55" s="98"/>
      <c r="E55" s="98"/>
      <c r="F55" s="98"/>
      <c r="G55" s="98"/>
      <c r="H55" s="98"/>
      <c r="I55" s="98"/>
      <c r="J55" s="98"/>
      <c r="K55" s="98"/>
      <c r="L55" s="98"/>
      <c r="M55" s="98"/>
      <c r="N55" s="98"/>
      <c r="O55" s="98"/>
      <c r="P55" s="98"/>
      <c r="Q55" s="98"/>
      <c r="R55" s="98"/>
      <c r="S55" s="98"/>
      <c r="T55" s="98"/>
      <c r="U55" s="98"/>
      <c r="V55" s="98"/>
      <c r="W55" s="98"/>
      <c r="X55" s="98"/>
      <c r="Y55" s="98"/>
      <c r="Z55" s="98"/>
    </row>
    <row r="56" spans="1:26" ht="12.75" customHeight="1">
      <c r="A56" s="98"/>
      <c r="B56" s="98"/>
      <c r="C56" s="98"/>
      <c r="D56" s="98"/>
      <c r="E56" s="98"/>
      <c r="F56" s="98"/>
      <c r="G56" s="98"/>
      <c r="H56" s="98"/>
      <c r="I56" s="98"/>
      <c r="J56" s="98"/>
      <c r="K56" s="98"/>
      <c r="L56" s="98"/>
      <c r="M56" s="98"/>
      <c r="N56" s="98"/>
      <c r="O56" s="98"/>
      <c r="P56" s="98"/>
      <c r="Q56" s="98"/>
      <c r="R56" s="98"/>
      <c r="S56" s="98"/>
      <c r="T56" s="98"/>
      <c r="U56" s="98"/>
      <c r="V56" s="98"/>
      <c r="W56" s="98"/>
      <c r="X56" s="98"/>
      <c r="Y56" s="98"/>
      <c r="Z56" s="98"/>
    </row>
    <row r="57" spans="1:26" ht="12.75" customHeight="1">
      <c r="A57" s="98"/>
      <c r="B57" s="98"/>
      <c r="C57" s="98"/>
      <c r="D57" s="98"/>
      <c r="E57" s="98"/>
      <c r="F57" s="98"/>
      <c r="G57" s="98"/>
      <c r="H57" s="98"/>
      <c r="I57" s="98"/>
      <c r="J57" s="98"/>
      <c r="K57" s="98"/>
      <c r="L57" s="98"/>
      <c r="M57" s="98"/>
      <c r="N57" s="98"/>
      <c r="O57" s="98"/>
      <c r="P57" s="98"/>
      <c r="Q57" s="98"/>
      <c r="R57" s="98"/>
      <c r="S57" s="98"/>
      <c r="T57" s="98"/>
      <c r="U57" s="98"/>
      <c r="V57" s="98"/>
      <c r="W57" s="98"/>
      <c r="X57" s="98"/>
      <c r="Y57" s="98"/>
      <c r="Z57" s="98"/>
    </row>
    <row r="58" spans="1:26" ht="12.75" customHeight="1">
      <c r="A58" s="98"/>
      <c r="B58" s="98"/>
      <c r="C58" s="98"/>
      <c r="D58" s="98"/>
      <c r="E58" s="98"/>
      <c r="F58" s="98"/>
      <c r="G58" s="98"/>
      <c r="H58" s="98"/>
      <c r="I58" s="98"/>
      <c r="J58" s="98"/>
      <c r="K58" s="98"/>
      <c r="L58" s="98"/>
      <c r="M58" s="98"/>
      <c r="N58" s="98"/>
      <c r="O58" s="98"/>
      <c r="P58" s="98"/>
      <c r="Q58" s="98"/>
      <c r="R58" s="98"/>
      <c r="S58" s="98"/>
      <c r="T58" s="98"/>
      <c r="U58" s="98"/>
      <c r="V58" s="98"/>
      <c r="W58" s="98"/>
      <c r="X58" s="98"/>
      <c r="Y58" s="98"/>
      <c r="Z58" s="98"/>
    </row>
    <row r="59" spans="1:26" ht="12.75" customHeight="1">
      <c r="A59" s="98"/>
      <c r="B59" s="98"/>
      <c r="C59" s="98"/>
      <c r="D59" s="98"/>
      <c r="E59" s="98"/>
      <c r="F59" s="98"/>
      <c r="G59" s="98"/>
      <c r="H59" s="98"/>
      <c r="I59" s="98"/>
      <c r="J59" s="98"/>
      <c r="K59" s="98"/>
      <c r="L59" s="98"/>
      <c r="M59" s="98"/>
      <c r="N59" s="98"/>
      <c r="O59" s="98"/>
      <c r="P59" s="98"/>
      <c r="Q59" s="98"/>
      <c r="R59" s="98"/>
      <c r="S59" s="98"/>
      <c r="T59" s="98"/>
      <c r="U59" s="98"/>
      <c r="V59" s="98"/>
      <c r="W59" s="98"/>
      <c r="X59" s="98"/>
      <c r="Y59" s="98"/>
      <c r="Z59" s="98"/>
    </row>
    <row r="60" spans="1:26" ht="12.75" customHeight="1">
      <c r="A60" s="98"/>
      <c r="B60" s="98"/>
      <c r="C60" s="98"/>
      <c r="D60" s="98"/>
      <c r="E60" s="98"/>
      <c r="F60" s="98"/>
      <c r="G60" s="98"/>
      <c r="H60" s="98"/>
      <c r="I60" s="98"/>
      <c r="J60" s="98"/>
      <c r="K60" s="98"/>
      <c r="L60" s="98"/>
      <c r="M60" s="98"/>
      <c r="N60" s="98"/>
      <c r="O60" s="98"/>
      <c r="P60" s="98"/>
      <c r="Q60" s="98"/>
      <c r="R60" s="98"/>
      <c r="S60" s="98"/>
      <c r="T60" s="98"/>
      <c r="U60" s="98"/>
      <c r="V60" s="98"/>
      <c r="W60" s="98"/>
      <c r="X60" s="98"/>
      <c r="Y60" s="98"/>
      <c r="Z60" s="98"/>
    </row>
    <row r="61" spans="1:26" ht="12.75" customHeight="1">
      <c r="A61" s="98"/>
      <c r="B61" s="98"/>
      <c r="C61" s="98"/>
      <c r="D61" s="98"/>
      <c r="E61" s="98"/>
      <c r="F61" s="98"/>
      <c r="G61" s="98"/>
      <c r="H61" s="98"/>
      <c r="I61" s="98"/>
      <c r="J61" s="98"/>
      <c r="K61" s="98"/>
      <c r="L61" s="98"/>
      <c r="M61" s="98"/>
      <c r="N61" s="98"/>
      <c r="O61" s="98"/>
      <c r="P61" s="98"/>
      <c r="Q61" s="98"/>
      <c r="R61" s="98"/>
      <c r="S61" s="98"/>
      <c r="T61" s="98"/>
      <c r="U61" s="98"/>
      <c r="V61" s="98"/>
      <c r="W61" s="98"/>
      <c r="X61" s="98"/>
      <c r="Y61" s="98"/>
      <c r="Z61" s="98"/>
    </row>
    <row r="62" spans="1:26" ht="12.75" customHeight="1">
      <c r="A62" s="98"/>
      <c r="B62" s="98"/>
      <c r="C62" s="98"/>
      <c r="D62" s="98"/>
      <c r="E62" s="98"/>
      <c r="F62" s="98"/>
      <c r="G62" s="98"/>
      <c r="H62" s="98"/>
      <c r="I62" s="98"/>
      <c r="J62" s="98"/>
      <c r="K62" s="98"/>
      <c r="L62" s="98"/>
      <c r="M62" s="98"/>
      <c r="N62" s="98"/>
      <c r="O62" s="98"/>
      <c r="P62" s="98"/>
      <c r="Q62" s="98"/>
      <c r="R62" s="98"/>
      <c r="S62" s="98"/>
      <c r="T62" s="98"/>
      <c r="U62" s="98"/>
      <c r="V62" s="98"/>
      <c r="W62" s="98"/>
      <c r="X62" s="98"/>
      <c r="Y62" s="98"/>
      <c r="Z62" s="98"/>
    </row>
    <row r="63" spans="1:26" ht="12.75" customHeight="1">
      <c r="A63" s="98"/>
      <c r="B63" s="98"/>
      <c r="C63" s="98"/>
      <c r="D63" s="98"/>
      <c r="E63" s="98"/>
      <c r="F63" s="98"/>
      <c r="G63" s="98"/>
      <c r="H63" s="98"/>
      <c r="I63" s="98"/>
      <c r="J63" s="98"/>
      <c r="K63" s="98"/>
      <c r="L63" s="98"/>
      <c r="M63" s="98"/>
      <c r="N63" s="98"/>
      <c r="O63" s="98"/>
      <c r="P63" s="98"/>
      <c r="Q63" s="98"/>
      <c r="R63" s="98"/>
      <c r="S63" s="98"/>
      <c r="T63" s="98"/>
      <c r="U63" s="98"/>
      <c r="V63" s="98"/>
      <c r="W63" s="98"/>
      <c r="X63" s="98"/>
      <c r="Y63" s="98"/>
      <c r="Z63" s="98"/>
    </row>
    <row r="64" spans="1:26" ht="12.75" customHeight="1">
      <c r="A64" s="98"/>
      <c r="B64" s="98"/>
      <c r="C64" s="98"/>
      <c r="D64" s="98"/>
      <c r="E64" s="98"/>
      <c r="F64" s="98"/>
      <c r="G64" s="98"/>
      <c r="H64" s="98"/>
      <c r="I64" s="98"/>
      <c r="J64" s="98"/>
      <c r="K64" s="98"/>
      <c r="L64" s="98"/>
      <c r="M64" s="98"/>
      <c r="N64" s="98"/>
      <c r="O64" s="98"/>
      <c r="P64" s="98"/>
      <c r="Q64" s="98"/>
      <c r="R64" s="98"/>
      <c r="S64" s="98"/>
      <c r="T64" s="98"/>
      <c r="U64" s="98"/>
      <c r="V64" s="98"/>
      <c r="W64" s="98"/>
      <c r="X64" s="98"/>
      <c r="Y64" s="98"/>
      <c r="Z64" s="98"/>
    </row>
    <row r="65" spans="1:26" ht="12.75" customHeight="1">
      <c r="A65" s="98"/>
      <c r="B65" s="98"/>
      <c r="C65" s="98"/>
      <c r="D65" s="98"/>
      <c r="E65" s="98"/>
      <c r="F65" s="98"/>
      <c r="G65" s="98"/>
      <c r="H65" s="98"/>
      <c r="I65" s="98"/>
      <c r="J65" s="98"/>
      <c r="K65" s="98"/>
      <c r="L65" s="98"/>
      <c r="M65" s="98"/>
      <c r="N65" s="98"/>
      <c r="O65" s="98"/>
      <c r="P65" s="98"/>
      <c r="Q65" s="98"/>
      <c r="R65" s="98"/>
      <c r="S65" s="98"/>
      <c r="T65" s="98"/>
      <c r="U65" s="98"/>
      <c r="V65" s="98"/>
      <c r="W65" s="98"/>
      <c r="X65" s="98"/>
      <c r="Y65" s="98"/>
      <c r="Z65" s="98"/>
    </row>
    <row r="66" spans="1:26" ht="12.75" customHeight="1">
      <c r="A66" s="98"/>
      <c r="B66" s="98"/>
      <c r="C66" s="98"/>
      <c r="D66" s="98"/>
      <c r="E66" s="98"/>
      <c r="F66" s="98"/>
      <c r="G66" s="98"/>
      <c r="H66" s="98"/>
      <c r="I66" s="98"/>
      <c r="J66" s="98"/>
      <c r="K66" s="98"/>
      <c r="L66" s="98"/>
      <c r="M66" s="98"/>
      <c r="N66" s="98"/>
      <c r="O66" s="98"/>
      <c r="P66" s="98"/>
      <c r="Q66" s="98"/>
      <c r="R66" s="98"/>
      <c r="S66" s="98"/>
      <c r="T66" s="98"/>
      <c r="U66" s="98"/>
      <c r="V66" s="98"/>
      <c r="W66" s="98"/>
      <c r="X66" s="98"/>
      <c r="Y66" s="98"/>
      <c r="Z66" s="98"/>
    </row>
    <row r="67" spans="1:26" ht="12.75" customHeight="1">
      <c r="A67" s="98"/>
      <c r="B67" s="98"/>
      <c r="C67" s="98"/>
      <c r="D67" s="98"/>
      <c r="E67" s="98"/>
      <c r="F67" s="98"/>
      <c r="G67" s="98"/>
      <c r="H67" s="98"/>
      <c r="I67" s="98"/>
      <c r="J67" s="98"/>
      <c r="K67" s="98"/>
      <c r="L67" s="98"/>
      <c r="M67" s="98"/>
      <c r="N67" s="98"/>
      <c r="O67" s="98"/>
      <c r="P67" s="98"/>
      <c r="Q67" s="98"/>
      <c r="R67" s="98"/>
      <c r="S67" s="98"/>
      <c r="T67" s="98"/>
      <c r="U67" s="98"/>
      <c r="V67" s="98"/>
      <c r="W67" s="98"/>
      <c r="X67" s="98"/>
      <c r="Y67" s="98"/>
      <c r="Z67" s="98"/>
    </row>
    <row r="68" spans="1:26" ht="12.75" customHeight="1">
      <c r="A68" s="98"/>
      <c r="B68" s="98"/>
      <c r="C68" s="98"/>
      <c r="D68" s="98"/>
      <c r="E68" s="98"/>
      <c r="F68" s="98"/>
      <c r="G68" s="98"/>
      <c r="H68" s="98"/>
      <c r="I68" s="98"/>
      <c r="J68" s="98"/>
      <c r="K68" s="98"/>
      <c r="L68" s="98"/>
      <c r="M68" s="98"/>
      <c r="N68" s="98"/>
      <c r="O68" s="98"/>
      <c r="P68" s="98"/>
      <c r="Q68" s="98"/>
      <c r="R68" s="98"/>
      <c r="S68" s="98"/>
      <c r="T68" s="98"/>
      <c r="U68" s="98"/>
      <c r="V68" s="98"/>
      <c r="W68" s="98"/>
      <c r="X68" s="98"/>
      <c r="Y68" s="98"/>
      <c r="Z68" s="98"/>
    </row>
    <row r="69" spans="1:26" ht="12.75" customHeight="1">
      <c r="A69" s="98"/>
      <c r="B69" s="98"/>
      <c r="C69" s="98"/>
      <c r="D69" s="98"/>
      <c r="E69" s="98"/>
      <c r="F69" s="98"/>
      <c r="G69" s="98"/>
      <c r="H69" s="98"/>
      <c r="I69" s="98"/>
      <c r="J69" s="98"/>
      <c r="K69" s="98"/>
      <c r="L69" s="98"/>
      <c r="M69" s="98"/>
      <c r="N69" s="98"/>
      <c r="O69" s="98"/>
      <c r="P69" s="98"/>
      <c r="Q69" s="98"/>
      <c r="R69" s="98"/>
      <c r="S69" s="98"/>
      <c r="T69" s="98"/>
      <c r="U69" s="98"/>
      <c r="V69" s="98"/>
      <c r="W69" s="98"/>
      <c r="X69" s="98"/>
      <c r="Y69" s="98"/>
      <c r="Z69" s="98"/>
    </row>
    <row r="70" spans="1:26" ht="12.75" customHeight="1">
      <c r="A70" s="98"/>
      <c r="B70" s="98"/>
      <c r="C70" s="98"/>
      <c r="D70" s="98"/>
      <c r="E70" s="98"/>
      <c r="F70" s="98"/>
      <c r="G70" s="98"/>
      <c r="H70" s="98"/>
      <c r="I70" s="98"/>
      <c r="J70" s="98"/>
      <c r="K70" s="98"/>
      <c r="L70" s="98"/>
      <c r="M70" s="98"/>
      <c r="N70" s="98"/>
      <c r="O70" s="98"/>
      <c r="P70" s="98"/>
      <c r="Q70" s="98"/>
      <c r="R70" s="98"/>
      <c r="S70" s="98"/>
      <c r="T70" s="98"/>
      <c r="U70" s="98"/>
      <c r="V70" s="98"/>
      <c r="W70" s="98"/>
      <c r="X70" s="98"/>
      <c r="Y70" s="98"/>
      <c r="Z70" s="98"/>
    </row>
    <row r="71" spans="1:26" ht="12.75" customHeight="1">
      <c r="A71" s="98"/>
      <c r="B71" s="98"/>
      <c r="C71" s="98"/>
      <c r="D71" s="98"/>
      <c r="E71" s="98"/>
      <c r="F71" s="98"/>
      <c r="G71" s="98"/>
      <c r="H71" s="98"/>
      <c r="I71" s="98"/>
      <c r="J71" s="98"/>
      <c r="K71" s="98"/>
      <c r="L71" s="98"/>
      <c r="M71" s="98"/>
      <c r="N71" s="98"/>
      <c r="O71" s="98"/>
      <c r="P71" s="98"/>
      <c r="Q71" s="98"/>
      <c r="R71" s="98"/>
      <c r="S71" s="98"/>
      <c r="T71" s="98"/>
      <c r="U71" s="98"/>
      <c r="V71" s="98"/>
      <c r="W71" s="98"/>
      <c r="X71" s="98"/>
      <c r="Y71" s="98"/>
      <c r="Z71" s="98"/>
    </row>
    <row r="72" spans="1:26" ht="12.75" customHeight="1">
      <c r="A72" s="98"/>
      <c r="B72" s="98"/>
      <c r="C72" s="98"/>
      <c r="D72" s="98"/>
      <c r="E72" s="98"/>
      <c r="F72" s="98"/>
      <c r="G72" s="98"/>
      <c r="H72" s="98"/>
      <c r="I72" s="98"/>
      <c r="J72" s="98"/>
      <c r="K72" s="98"/>
      <c r="L72" s="98"/>
      <c r="M72" s="98"/>
      <c r="N72" s="98"/>
      <c r="O72" s="98"/>
      <c r="P72" s="98"/>
      <c r="Q72" s="98"/>
      <c r="R72" s="98"/>
      <c r="S72" s="98"/>
      <c r="T72" s="98"/>
      <c r="U72" s="98"/>
      <c r="V72" s="98"/>
      <c r="W72" s="98"/>
      <c r="X72" s="98"/>
      <c r="Y72" s="98"/>
      <c r="Z72" s="98"/>
    </row>
    <row r="73" spans="1:26" ht="12.75" customHeight="1">
      <c r="A73" s="98"/>
      <c r="B73" s="98"/>
      <c r="C73" s="98"/>
      <c r="D73" s="98"/>
      <c r="E73" s="98"/>
      <c r="F73" s="98"/>
      <c r="G73" s="98"/>
      <c r="H73" s="98"/>
      <c r="I73" s="98"/>
      <c r="J73" s="98"/>
      <c r="K73" s="98"/>
      <c r="L73" s="98"/>
      <c r="M73" s="98"/>
      <c r="N73" s="98"/>
      <c r="O73" s="98"/>
      <c r="P73" s="98"/>
      <c r="Q73" s="98"/>
      <c r="R73" s="98"/>
      <c r="S73" s="98"/>
      <c r="T73" s="98"/>
      <c r="U73" s="98"/>
      <c r="V73" s="98"/>
      <c r="W73" s="98"/>
      <c r="X73" s="98"/>
      <c r="Y73" s="98"/>
      <c r="Z73" s="98"/>
    </row>
    <row r="74" spans="1:26" ht="12.75" customHeight="1">
      <c r="A74" s="98"/>
      <c r="B74" s="98"/>
      <c r="C74" s="98"/>
      <c r="D74" s="98"/>
      <c r="E74" s="98"/>
      <c r="F74" s="98"/>
      <c r="G74" s="98"/>
      <c r="H74" s="98"/>
      <c r="I74" s="98"/>
      <c r="J74" s="98"/>
      <c r="K74" s="98"/>
      <c r="L74" s="98"/>
      <c r="M74" s="98"/>
      <c r="N74" s="98"/>
      <c r="O74" s="98"/>
      <c r="P74" s="98"/>
      <c r="Q74" s="98"/>
      <c r="R74" s="98"/>
      <c r="S74" s="98"/>
      <c r="T74" s="98"/>
      <c r="U74" s="98"/>
      <c r="V74" s="98"/>
      <c r="W74" s="98"/>
      <c r="X74" s="98"/>
      <c r="Y74" s="98"/>
      <c r="Z74" s="98"/>
    </row>
    <row r="75" spans="1:26" ht="12.75" customHeight="1">
      <c r="A75" s="98"/>
      <c r="B75" s="98"/>
      <c r="C75" s="98"/>
      <c r="D75" s="98"/>
      <c r="E75" s="98"/>
      <c r="F75" s="98"/>
      <c r="G75" s="98"/>
      <c r="H75" s="98"/>
      <c r="I75" s="98"/>
      <c r="J75" s="98"/>
      <c r="K75" s="98"/>
      <c r="L75" s="98"/>
      <c r="M75" s="98"/>
      <c r="N75" s="98"/>
      <c r="O75" s="98"/>
      <c r="P75" s="98"/>
      <c r="Q75" s="98"/>
      <c r="R75" s="98"/>
      <c r="S75" s="98"/>
      <c r="T75" s="98"/>
      <c r="U75" s="98"/>
      <c r="V75" s="98"/>
      <c r="W75" s="98"/>
      <c r="X75" s="98"/>
      <c r="Y75" s="98"/>
      <c r="Z75" s="98"/>
    </row>
    <row r="76" spans="1:26" ht="12.75" customHeight="1">
      <c r="A76" s="98"/>
      <c r="B76" s="98"/>
      <c r="C76" s="98"/>
      <c r="D76" s="98"/>
      <c r="E76" s="98"/>
      <c r="F76" s="98"/>
      <c r="G76" s="98"/>
      <c r="H76" s="98"/>
      <c r="I76" s="98"/>
      <c r="J76" s="98"/>
      <c r="K76" s="98"/>
      <c r="L76" s="98"/>
      <c r="M76" s="98"/>
      <c r="N76" s="98"/>
      <c r="O76" s="98"/>
      <c r="P76" s="98"/>
      <c r="Q76" s="98"/>
      <c r="R76" s="98"/>
      <c r="S76" s="98"/>
      <c r="T76" s="98"/>
      <c r="U76" s="98"/>
      <c r="V76" s="98"/>
      <c r="W76" s="98"/>
      <c r="X76" s="98"/>
      <c r="Y76" s="98"/>
      <c r="Z76" s="98"/>
    </row>
    <row r="77" spans="1:26" ht="12.75" customHeight="1">
      <c r="A77" s="98"/>
      <c r="B77" s="98"/>
      <c r="C77" s="98"/>
      <c r="D77" s="98"/>
      <c r="E77" s="98"/>
      <c r="F77" s="98"/>
      <c r="G77" s="98"/>
      <c r="H77" s="98"/>
      <c r="I77" s="98"/>
      <c r="J77" s="98"/>
      <c r="K77" s="98"/>
      <c r="L77" s="98"/>
      <c r="M77" s="98"/>
      <c r="N77" s="98"/>
      <c r="O77" s="98"/>
      <c r="P77" s="98"/>
      <c r="Q77" s="98"/>
      <c r="R77" s="98"/>
      <c r="S77" s="98"/>
      <c r="T77" s="98"/>
      <c r="U77" s="98"/>
      <c r="V77" s="98"/>
      <c r="W77" s="98"/>
      <c r="X77" s="98"/>
      <c r="Y77" s="98"/>
      <c r="Z77" s="98"/>
    </row>
    <row r="78" spans="1:26" ht="12.75" customHeight="1">
      <c r="A78" s="98"/>
      <c r="B78" s="98"/>
      <c r="C78" s="98"/>
      <c r="D78" s="98"/>
      <c r="E78" s="98"/>
      <c r="F78" s="98"/>
      <c r="G78" s="98"/>
      <c r="H78" s="98"/>
      <c r="I78" s="98"/>
      <c r="J78" s="98"/>
      <c r="K78" s="98"/>
      <c r="L78" s="98"/>
      <c r="M78" s="98"/>
      <c r="N78" s="98"/>
      <c r="O78" s="98"/>
      <c r="P78" s="98"/>
      <c r="Q78" s="98"/>
      <c r="R78" s="98"/>
      <c r="S78" s="98"/>
      <c r="T78" s="98"/>
      <c r="U78" s="98"/>
      <c r="V78" s="98"/>
      <c r="W78" s="98"/>
      <c r="X78" s="98"/>
      <c r="Y78" s="98"/>
      <c r="Z78" s="98"/>
    </row>
    <row r="79" spans="1:26" ht="12.75" customHeight="1">
      <c r="A79" s="98"/>
      <c r="B79" s="98"/>
      <c r="C79" s="98"/>
      <c r="D79" s="98"/>
      <c r="E79" s="98"/>
      <c r="F79" s="98"/>
      <c r="G79" s="98"/>
      <c r="H79" s="98"/>
      <c r="I79" s="98"/>
      <c r="J79" s="98"/>
      <c r="K79" s="98"/>
      <c r="L79" s="98"/>
      <c r="M79" s="98"/>
      <c r="N79" s="98"/>
      <c r="O79" s="98"/>
      <c r="P79" s="98"/>
      <c r="Q79" s="98"/>
      <c r="R79" s="98"/>
      <c r="S79" s="98"/>
      <c r="T79" s="98"/>
      <c r="U79" s="98"/>
      <c r="V79" s="98"/>
      <c r="W79" s="98"/>
      <c r="X79" s="98"/>
      <c r="Y79" s="98"/>
      <c r="Z79" s="98"/>
    </row>
    <row r="80" spans="1:26" ht="12.75" customHeight="1">
      <c r="A80" s="98"/>
      <c r="B80" s="98"/>
      <c r="C80" s="98"/>
      <c r="D80" s="98"/>
      <c r="E80" s="98"/>
      <c r="F80" s="98"/>
      <c r="G80" s="98"/>
      <c r="H80" s="98"/>
      <c r="I80" s="98"/>
      <c r="J80" s="98"/>
      <c r="K80" s="98"/>
      <c r="L80" s="98"/>
      <c r="M80" s="98"/>
      <c r="N80" s="98"/>
      <c r="O80" s="98"/>
      <c r="P80" s="98"/>
      <c r="Q80" s="98"/>
      <c r="R80" s="98"/>
      <c r="S80" s="98"/>
      <c r="T80" s="98"/>
      <c r="U80" s="98"/>
      <c r="V80" s="98"/>
      <c r="W80" s="98"/>
      <c r="X80" s="98"/>
      <c r="Y80" s="98"/>
      <c r="Z80" s="98"/>
    </row>
    <row r="81" spans="1:26" ht="12.75" customHeight="1">
      <c r="A81" s="98"/>
      <c r="B81" s="98"/>
      <c r="C81" s="98"/>
      <c r="D81" s="98"/>
      <c r="E81" s="98"/>
      <c r="F81" s="98"/>
      <c r="G81" s="98"/>
      <c r="H81" s="98"/>
      <c r="I81" s="98"/>
      <c r="J81" s="98"/>
      <c r="K81" s="98"/>
      <c r="L81" s="98"/>
      <c r="M81" s="98"/>
      <c r="N81" s="98"/>
      <c r="O81" s="98"/>
      <c r="P81" s="98"/>
      <c r="Q81" s="98"/>
      <c r="R81" s="98"/>
      <c r="S81" s="98"/>
      <c r="T81" s="98"/>
      <c r="U81" s="98"/>
      <c r="V81" s="98"/>
      <c r="W81" s="98"/>
      <c r="X81" s="98"/>
      <c r="Y81" s="98"/>
      <c r="Z81" s="98"/>
    </row>
    <row r="82" spans="1:26" ht="12.75" customHeight="1">
      <c r="A82" s="98"/>
      <c r="B82" s="98"/>
      <c r="C82" s="98"/>
      <c r="D82" s="98"/>
      <c r="E82" s="98"/>
      <c r="F82" s="98"/>
      <c r="G82" s="98"/>
      <c r="H82" s="98"/>
      <c r="I82" s="98"/>
      <c r="J82" s="98"/>
      <c r="K82" s="98"/>
      <c r="L82" s="98"/>
      <c r="M82" s="98"/>
      <c r="N82" s="98"/>
      <c r="O82" s="98"/>
      <c r="P82" s="98"/>
      <c r="Q82" s="98"/>
      <c r="R82" s="98"/>
      <c r="S82" s="98"/>
      <c r="T82" s="98"/>
      <c r="U82" s="98"/>
      <c r="V82" s="98"/>
      <c r="W82" s="98"/>
      <c r="X82" s="98"/>
      <c r="Y82" s="98"/>
      <c r="Z82" s="98"/>
    </row>
    <row r="83" spans="1:26" ht="12.75" customHeight="1">
      <c r="A83" s="98"/>
      <c r="B83" s="98"/>
      <c r="C83" s="98"/>
      <c r="D83" s="98"/>
      <c r="E83" s="98"/>
      <c r="F83" s="98"/>
      <c r="G83" s="98"/>
      <c r="H83" s="98"/>
      <c r="I83" s="98"/>
      <c r="J83" s="98"/>
      <c r="K83" s="98"/>
      <c r="L83" s="98"/>
      <c r="M83" s="98"/>
      <c r="N83" s="98"/>
      <c r="O83" s="98"/>
      <c r="P83" s="98"/>
      <c r="Q83" s="98"/>
      <c r="R83" s="98"/>
      <c r="S83" s="98"/>
      <c r="T83" s="98"/>
      <c r="U83" s="98"/>
      <c r="V83" s="98"/>
      <c r="W83" s="98"/>
      <c r="X83" s="98"/>
      <c r="Y83" s="98"/>
      <c r="Z83" s="98"/>
    </row>
    <row r="84" spans="1:26" ht="12.75" customHeight="1">
      <c r="A84" s="98"/>
      <c r="B84" s="98"/>
      <c r="C84" s="98"/>
      <c r="D84" s="98"/>
      <c r="E84" s="98"/>
      <c r="F84" s="98"/>
      <c r="G84" s="98"/>
      <c r="H84" s="98"/>
      <c r="I84" s="98"/>
      <c r="J84" s="98"/>
      <c r="K84" s="98"/>
      <c r="L84" s="98"/>
      <c r="M84" s="98"/>
      <c r="N84" s="98"/>
      <c r="O84" s="98"/>
      <c r="P84" s="98"/>
      <c r="Q84" s="98"/>
      <c r="R84" s="98"/>
      <c r="S84" s="98"/>
      <c r="T84" s="98"/>
      <c r="U84" s="98"/>
      <c r="V84" s="98"/>
      <c r="W84" s="98"/>
      <c r="X84" s="98"/>
      <c r="Y84" s="98"/>
      <c r="Z84" s="98"/>
    </row>
    <row r="85" spans="1:26" ht="12.75" customHeight="1">
      <c r="A85" s="98"/>
      <c r="B85" s="98"/>
      <c r="C85" s="98"/>
      <c r="D85" s="98"/>
      <c r="E85" s="98"/>
      <c r="F85" s="98"/>
      <c r="G85" s="98"/>
      <c r="H85" s="98"/>
      <c r="I85" s="98"/>
      <c r="J85" s="98"/>
      <c r="K85" s="98"/>
      <c r="L85" s="98"/>
      <c r="M85" s="98"/>
      <c r="N85" s="98"/>
      <c r="O85" s="98"/>
      <c r="P85" s="98"/>
      <c r="Q85" s="98"/>
      <c r="R85" s="98"/>
      <c r="S85" s="98"/>
      <c r="T85" s="98"/>
      <c r="U85" s="98"/>
      <c r="V85" s="98"/>
      <c r="W85" s="98"/>
      <c r="X85" s="98"/>
      <c r="Y85" s="98"/>
      <c r="Z85" s="98"/>
    </row>
    <row r="86" spans="1:26" ht="12.75" customHeight="1">
      <c r="A86" s="98"/>
      <c r="B86" s="98"/>
      <c r="C86" s="98"/>
      <c r="D86" s="98"/>
      <c r="E86" s="98"/>
      <c r="F86" s="98"/>
      <c r="G86" s="98"/>
      <c r="H86" s="98"/>
      <c r="I86" s="98"/>
      <c r="J86" s="98"/>
      <c r="K86" s="98"/>
      <c r="L86" s="98"/>
      <c r="M86" s="98"/>
      <c r="N86" s="98"/>
      <c r="O86" s="98"/>
      <c r="P86" s="98"/>
      <c r="Q86" s="98"/>
      <c r="R86" s="98"/>
      <c r="S86" s="98"/>
      <c r="T86" s="98"/>
      <c r="U86" s="98"/>
      <c r="V86" s="98"/>
      <c r="W86" s="98"/>
      <c r="X86" s="98"/>
      <c r="Y86" s="98"/>
      <c r="Z86" s="98"/>
    </row>
    <row r="87" spans="1:26" ht="12.75" customHeight="1">
      <c r="A87" s="98"/>
      <c r="B87" s="98"/>
      <c r="C87" s="98"/>
      <c r="D87" s="98"/>
      <c r="E87" s="98"/>
      <c r="F87" s="98"/>
      <c r="G87" s="98"/>
      <c r="H87" s="98"/>
      <c r="I87" s="98"/>
      <c r="J87" s="98"/>
      <c r="K87" s="98"/>
      <c r="L87" s="98"/>
      <c r="M87" s="98"/>
      <c r="N87" s="98"/>
      <c r="O87" s="98"/>
      <c r="P87" s="98"/>
      <c r="Q87" s="98"/>
      <c r="R87" s="98"/>
      <c r="S87" s="98"/>
      <c r="T87" s="98"/>
      <c r="U87" s="98"/>
      <c r="V87" s="98"/>
      <c r="W87" s="98"/>
      <c r="X87" s="98"/>
      <c r="Y87" s="98"/>
      <c r="Z87" s="98"/>
    </row>
    <row r="88" spans="1:26" ht="12.75" customHeight="1">
      <c r="A88" s="98"/>
      <c r="B88" s="98"/>
      <c r="C88" s="98"/>
      <c r="D88" s="98"/>
      <c r="E88" s="98"/>
      <c r="F88" s="98"/>
      <c r="G88" s="98"/>
      <c r="H88" s="98"/>
      <c r="I88" s="98"/>
      <c r="J88" s="98"/>
      <c r="K88" s="98"/>
      <c r="L88" s="98"/>
      <c r="M88" s="98"/>
      <c r="N88" s="98"/>
      <c r="O88" s="98"/>
      <c r="P88" s="98"/>
      <c r="Q88" s="98"/>
      <c r="R88" s="98"/>
      <c r="S88" s="98"/>
      <c r="T88" s="98"/>
      <c r="U88" s="98"/>
      <c r="V88" s="98"/>
      <c r="W88" s="98"/>
      <c r="X88" s="98"/>
      <c r="Y88" s="98"/>
      <c r="Z88" s="98"/>
    </row>
    <row r="89" spans="1:26" ht="12.75" customHeight="1">
      <c r="A89" s="98"/>
      <c r="B89" s="98"/>
      <c r="C89" s="98"/>
      <c r="D89" s="98"/>
      <c r="E89" s="98"/>
      <c r="F89" s="98"/>
      <c r="G89" s="98"/>
      <c r="H89" s="98"/>
      <c r="I89" s="98"/>
      <c r="J89" s="98"/>
      <c r="K89" s="98"/>
      <c r="L89" s="98"/>
      <c r="M89" s="98"/>
      <c r="N89" s="98"/>
      <c r="O89" s="98"/>
      <c r="P89" s="98"/>
      <c r="Q89" s="98"/>
      <c r="R89" s="98"/>
      <c r="S89" s="98"/>
      <c r="T89" s="98"/>
      <c r="U89" s="98"/>
      <c r="V89" s="98"/>
      <c r="W89" s="98"/>
      <c r="X89" s="98"/>
      <c r="Y89" s="98"/>
      <c r="Z89" s="98"/>
    </row>
    <row r="90" spans="1:26" ht="12.75" customHeight="1">
      <c r="A90" s="98"/>
      <c r="B90" s="98"/>
      <c r="C90" s="98"/>
      <c r="D90" s="98"/>
      <c r="E90" s="98"/>
      <c r="F90" s="98"/>
      <c r="G90" s="98"/>
      <c r="H90" s="98"/>
      <c r="I90" s="98"/>
      <c r="J90" s="98"/>
      <c r="K90" s="98"/>
      <c r="L90" s="98"/>
      <c r="M90" s="98"/>
      <c r="N90" s="98"/>
      <c r="O90" s="98"/>
      <c r="P90" s="98"/>
      <c r="Q90" s="98"/>
      <c r="R90" s="98"/>
      <c r="S90" s="98"/>
      <c r="T90" s="98"/>
      <c r="U90" s="98"/>
      <c r="V90" s="98"/>
      <c r="W90" s="98"/>
      <c r="X90" s="98"/>
      <c r="Y90" s="98"/>
      <c r="Z90" s="98"/>
    </row>
    <row r="91" spans="1:26" ht="12.75" customHeight="1">
      <c r="A91" s="98"/>
      <c r="B91" s="98"/>
      <c r="C91" s="98"/>
      <c r="D91" s="98"/>
      <c r="E91" s="98"/>
      <c r="F91" s="98"/>
      <c r="G91" s="98"/>
      <c r="H91" s="98"/>
      <c r="I91" s="98"/>
      <c r="J91" s="98"/>
      <c r="K91" s="98"/>
      <c r="L91" s="98"/>
      <c r="M91" s="98"/>
      <c r="N91" s="98"/>
      <c r="O91" s="98"/>
      <c r="P91" s="98"/>
      <c r="Q91" s="98"/>
      <c r="R91" s="98"/>
      <c r="S91" s="98"/>
      <c r="T91" s="98"/>
      <c r="U91" s="98"/>
      <c r="V91" s="98"/>
      <c r="W91" s="98"/>
      <c r="X91" s="98"/>
      <c r="Y91" s="98"/>
      <c r="Z91" s="98"/>
    </row>
    <row r="92" spans="1:26" ht="12.75" customHeight="1">
      <c r="A92" s="98"/>
      <c r="B92" s="98"/>
      <c r="C92" s="98"/>
      <c r="D92" s="98"/>
      <c r="E92" s="98"/>
      <c r="F92" s="98"/>
      <c r="G92" s="98"/>
      <c r="H92" s="98"/>
      <c r="I92" s="98"/>
      <c r="J92" s="98"/>
      <c r="K92" s="98"/>
      <c r="L92" s="98"/>
      <c r="M92" s="98"/>
      <c r="N92" s="98"/>
      <c r="O92" s="98"/>
      <c r="P92" s="98"/>
      <c r="Q92" s="98"/>
      <c r="R92" s="98"/>
      <c r="S92" s="98"/>
      <c r="T92" s="98"/>
      <c r="U92" s="98"/>
      <c r="V92" s="98"/>
      <c r="W92" s="98"/>
      <c r="X92" s="98"/>
      <c r="Y92" s="98"/>
      <c r="Z92" s="98"/>
    </row>
    <row r="93" spans="1:26" ht="12.75" customHeight="1">
      <c r="A93" s="98"/>
      <c r="B93" s="98"/>
      <c r="C93" s="98"/>
      <c r="D93" s="98"/>
      <c r="E93" s="98"/>
      <c r="F93" s="98"/>
      <c r="G93" s="98"/>
      <c r="H93" s="98"/>
      <c r="I93" s="98"/>
      <c r="J93" s="98"/>
      <c r="K93" s="98"/>
      <c r="L93" s="98"/>
      <c r="M93" s="98"/>
      <c r="N93" s="98"/>
      <c r="O93" s="98"/>
      <c r="P93" s="98"/>
      <c r="Q93" s="98"/>
      <c r="R93" s="98"/>
      <c r="S93" s="98"/>
      <c r="T93" s="98"/>
      <c r="U93" s="98"/>
      <c r="V93" s="98"/>
      <c r="W93" s="98"/>
      <c r="X93" s="98"/>
      <c r="Y93" s="98"/>
      <c r="Z93" s="98"/>
    </row>
    <row r="94" spans="1:26" ht="12.75" customHeight="1">
      <c r="A94" s="98"/>
      <c r="B94" s="98"/>
      <c r="C94" s="98"/>
      <c r="D94" s="98"/>
      <c r="E94" s="98"/>
      <c r="F94" s="98"/>
      <c r="G94" s="98"/>
      <c r="H94" s="98"/>
      <c r="I94" s="98"/>
      <c r="J94" s="98"/>
      <c r="K94" s="98"/>
      <c r="L94" s="98"/>
      <c r="M94" s="98"/>
      <c r="N94" s="98"/>
      <c r="O94" s="98"/>
      <c r="P94" s="98"/>
      <c r="Q94" s="98"/>
      <c r="R94" s="98"/>
      <c r="S94" s="98"/>
      <c r="T94" s="98"/>
      <c r="U94" s="98"/>
      <c r="V94" s="98"/>
      <c r="W94" s="98"/>
      <c r="X94" s="98"/>
      <c r="Y94" s="98"/>
      <c r="Z94" s="98"/>
    </row>
    <row r="95" spans="1:26" ht="12.75" customHeight="1">
      <c r="A95" s="98"/>
      <c r="B95" s="98"/>
      <c r="C95" s="98"/>
      <c r="D95" s="98"/>
      <c r="E95" s="98"/>
      <c r="F95" s="98"/>
      <c r="G95" s="98"/>
      <c r="H95" s="98"/>
      <c r="I95" s="98"/>
      <c r="J95" s="98"/>
      <c r="K95" s="98"/>
      <c r="L95" s="98"/>
      <c r="M95" s="98"/>
      <c r="N95" s="98"/>
      <c r="O95" s="98"/>
      <c r="P95" s="98"/>
      <c r="Q95" s="98"/>
      <c r="R95" s="98"/>
      <c r="S95" s="98"/>
      <c r="T95" s="98"/>
      <c r="U95" s="98"/>
      <c r="V95" s="98"/>
      <c r="W95" s="98"/>
      <c r="X95" s="98"/>
      <c r="Y95" s="98"/>
      <c r="Z95" s="98"/>
    </row>
    <row r="96" spans="1:26" ht="12.75" customHeight="1">
      <c r="A96" s="98"/>
      <c r="B96" s="98"/>
      <c r="C96" s="98"/>
      <c r="D96" s="98"/>
      <c r="E96" s="98"/>
      <c r="F96" s="98"/>
      <c r="G96" s="98"/>
      <c r="H96" s="98"/>
      <c r="I96" s="98"/>
      <c r="J96" s="98"/>
      <c r="K96" s="98"/>
      <c r="L96" s="98"/>
      <c r="M96" s="98"/>
      <c r="N96" s="98"/>
      <c r="O96" s="98"/>
      <c r="P96" s="98"/>
      <c r="Q96" s="98"/>
      <c r="R96" s="98"/>
      <c r="S96" s="98"/>
      <c r="T96" s="98"/>
      <c r="U96" s="98"/>
      <c r="V96" s="98"/>
      <c r="W96" s="98"/>
      <c r="X96" s="98"/>
      <c r="Y96" s="98"/>
      <c r="Z96" s="98"/>
    </row>
    <row r="97" spans="1:26" ht="12.75" customHeight="1">
      <c r="A97" s="98"/>
      <c r="B97" s="98"/>
      <c r="C97" s="98"/>
      <c r="D97" s="98"/>
      <c r="E97" s="98"/>
      <c r="F97" s="98"/>
      <c r="G97" s="98"/>
      <c r="H97" s="98"/>
      <c r="I97" s="98"/>
      <c r="J97" s="98"/>
      <c r="K97" s="98"/>
      <c r="L97" s="98"/>
      <c r="M97" s="98"/>
      <c r="N97" s="98"/>
      <c r="O97" s="98"/>
      <c r="P97" s="98"/>
      <c r="Q97" s="98"/>
      <c r="R97" s="98"/>
      <c r="S97" s="98"/>
      <c r="T97" s="98"/>
      <c r="U97" s="98"/>
      <c r="V97" s="98"/>
      <c r="W97" s="98"/>
      <c r="X97" s="98"/>
      <c r="Y97" s="98"/>
      <c r="Z97" s="98"/>
    </row>
    <row r="98" spans="1:26" ht="12.75" customHeight="1">
      <c r="A98" s="98"/>
      <c r="B98" s="98"/>
      <c r="C98" s="98"/>
      <c r="D98" s="98"/>
      <c r="E98" s="98"/>
      <c r="F98" s="98"/>
      <c r="G98" s="98"/>
      <c r="H98" s="98"/>
      <c r="I98" s="98"/>
      <c r="J98" s="98"/>
      <c r="K98" s="98"/>
      <c r="L98" s="98"/>
      <c r="M98" s="98"/>
      <c r="N98" s="98"/>
      <c r="O98" s="98"/>
      <c r="P98" s="98"/>
      <c r="Q98" s="98"/>
      <c r="R98" s="98"/>
      <c r="S98" s="98"/>
      <c r="T98" s="98"/>
      <c r="U98" s="98"/>
      <c r="V98" s="98"/>
      <c r="W98" s="98"/>
      <c r="X98" s="98"/>
      <c r="Y98" s="98"/>
      <c r="Z98" s="98"/>
    </row>
    <row r="99" spans="1:26" ht="12.75" customHeight="1">
      <c r="A99" s="98"/>
      <c r="B99" s="98"/>
      <c r="C99" s="98"/>
      <c r="D99" s="98"/>
      <c r="E99" s="98"/>
      <c r="F99" s="98"/>
      <c r="G99" s="98"/>
      <c r="H99" s="98"/>
      <c r="I99" s="98"/>
      <c r="J99" s="98"/>
      <c r="K99" s="98"/>
      <c r="L99" s="98"/>
      <c r="M99" s="98"/>
      <c r="N99" s="98"/>
      <c r="O99" s="98"/>
      <c r="P99" s="98"/>
      <c r="Q99" s="98"/>
      <c r="R99" s="98"/>
      <c r="S99" s="98"/>
      <c r="T99" s="98"/>
      <c r="U99" s="98"/>
      <c r="V99" s="98"/>
      <c r="W99" s="98"/>
      <c r="X99" s="98"/>
      <c r="Y99" s="98"/>
      <c r="Z99" s="98"/>
    </row>
    <row r="100" spans="1:26" ht="12.75" customHeight="1">
      <c r="A100" s="98"/>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98"/>
    </row>
    <row r="101" spans="1:26" ht="12.75" customHeight="1">
      <c r="A101" s="98"/>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row>
    <row r="102" spans="1:26" ht="12.75" customHeight="1">
      <c r="A102" s="98"/>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8"/>
    </row>
    <row r="103" spans="1:26" ht="12.75" customHeight="1">
      <c r="A103" s="98"/>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row>
    <row r="104" spans="1:26" ht="12.75" customHeight="1">
      <c r="A104" s="98"/>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row>
    <row r="105" spans="1:26" ht="12.75" customHeight="1">
      <c r="A105" s="98"/>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98"/>
    </row>
    <row r="106" spans="1:26" ht="12.75" customHeight="1">
      <c r="A106" s="98"/>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98"/>
    </row>
    <row r="107" spans="1:26" ht="12.75" customHeight="1">
      <c r="A107" s="98"/>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row>
    <row r="108" spans="1:26" ht="12.75" customHeight="1">
      <c r="A108" s="98"/>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row>
    <row r="109" spans="1:26" ht="12.75" customHeight="1">
      <c r="A109" s="98"/>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row>
    <row r="110" spans="1:26" ht="12.75" customHeight="1">
      <c r="A110" s="98"/>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row>
    <row r="111" spans="1:26" ht="12.75" customHeight="1">
      <c r="A111" s="98"/>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row>
    <row r="112" spans="1:26" ht="12.75" customHeight="1">
      <c r="A112" s="98"/>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row>
    <row r="113" spans="1:26" ht="12.75" customHeight="1">
      <c r="A113" s="98"/>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row>
    <row r="114" spans="1:26" ht="12.75" customHeight="1">
      <c r="A114" s="98"/>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row>
    <row r="115" spans="1:26" ht="12.75" customHeight="1">
      <c r="A115" s="98"/>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row>
    <row r="116" spans="1:26" ht="12.75" customHeight="1">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row>
    <row r="117" spans="1:26" ht="12.75" customHeight="1">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row>
    <row r="118" spans="1:26" ht="12.75" customHeight="1">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row>
    <row r="119" spans="1:26" ht="12.75" customHeight="1">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row>
    <row r="120" spans="1:26" ht="12.75" customHeight="1">
      <c r="A120" s="98"/>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row>
    <row r="121" spans="1:26" ht="12.75" customHeight="1">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row>
    <row r="122" spans="1:26" ht="12.75" customHeight="1">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row>
    <row r="123" spans="1:26" ht="12.75" customHeight="1">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row>
    <row r="124" spans="1:26" ht="12.75" customHeight="1">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row>
    <row r="125" spans="1:26" ht="12.75" customHeight="1">
      <c r="A125" s="98"/>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row>
    <row r="126" spans="1:26" ht="12.75" customHeight="1">
      <c r="A126" s="98"/>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row>
    <row r="127" spans="1:26" ht="12.75" customHeight="1">
      <c r="A127" s="98"/>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row>
    <row r="128" spans="1:26" ht="12.75" customHeight="1">
      <c r="A128" s="9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row>
    <row r="129" spans="1:26" ht="12.75" customHeight="1">
      <c r="A129" s="98"/>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row>
    <row r="130" spans="1:26" ht="12.75" customHeight="1">
      <c r="A130" s="98"/>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row>
    <row r="131" spans="1:26" ht="12.75" customHeight="1">
      <c r="A131" s="98"/>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row>
    <row r="132" spans="1:26" ht="12.75" customHeight="1">
      <c r="A132" s="98"/>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row>
    <row r="133" spans="1:26" ht="12.75" customHeight="1">
      <c r="A133" s="98"/>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row>
    <row r="134" spans="1:26" ht="12.75" customHeight="1">
      <c r="A134" s="98"/>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row>
    <row r="135" spans="1:26" ht="12.75" customHeight="1">
      <c r="A135" s="98"/>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row>
    <row r="136" spans="1:26" ht="12.75" customHeight="1">
      <c r="A136" s="98"/>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row>
    <row r="137" spans="1:26" ht="12.75" customHeight="1">
      <c r="A137" s="98"/>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row>
    <row r="138" spans="1:26" ht="12.75" customHeight="1">
      <c r="A138" s="98"/>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row>
    <row r="139" spans="1:26" ht="12.75" customHeight="1">
      <c r="A139" s="98"/>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row>
    <row r="140" spans="1:26" ht="12.75" customHeight="1">
      <c r="A140" s="98"/>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row>
    <row r="141" spans="1:26" ht="12.75" customHeight="1">
      <c r="A141" s="98"/>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row>
    <row r="142" spans="1:26" ht="12.75" customHeight="1">
      <c r="A142" s="98"/>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row>
    <row r="143" spans="1:26" ht="12.75" customHeight="1">
      <c r="A143" s="98"/>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row>
    <row r="144" spans="1:26" ht="12.75" customHeight="1">
      <c r="A144" s="98"/>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row>
    <row r="145" spans="1:26" ht="12.75" customHeight="1">
      <c r="A145" s="98"/>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row>
    <row r="146" spans="1:26" ht="12.75" customHeight="1">
      <c r="A146" s="98"/>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row>
    <row r="147" spans="1:26" ht="12.75" customHeight="1">
      <c r="A147" s="98"/>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row>
    <row r="148" spans="1:26" ht="12.75" customHeight="1">
      <c r="A148" s="98"/>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row>
    <row r="149" spans="1:26" ht="12.75" customHeight="1">
      <c r="A149" s="98"/>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row>
    <row r="150" spans="1:26" ht="12.75" customHeight="1">
      <c r="A150" s="98"/>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row>
    <row r="151" spans="1:26" ht="12.75" customHeight="1">
      <c r="A151" s="98"/>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row>
    <row r="152" spans="1:26" ht="12.75" customHeight="1">
      <c r="A152" s="98"/>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row>
    <row r="153" spans="1:26" ht="12.75" customHeight="1">
      <c r="A153" s="98"/>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row>
    <row r="154" spans="1:26" ht="12.75" customHeight="1">
      <c r="A154" s="98"/>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row>
    <row r="155" spans="1:26" ht="12.75" customHeight="1">
      <c r="A155" s="98"/>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row>
    <row r="156" spans="1:26" ht="12.75" customHeight="1">
      <c r="A156" s="98"/>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row>
    <row r="157" spans="1:26" ht="12.75" customHeight="1">
      <c r="A157" s="98"/>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row>
    <row r="158" spans="1:26" ht="12.75" customHeight="1">
      <c r="A158" s="9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row>
    <row r="159" spans="1:26" ht="12.75" customHeight="1">
      <c r="A159" s="98"/>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row>
    <row r="160" spans="1:26" ht="12.75" customHeight="1">
      <c r="A160" s="98"/>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row>
    <row r="161" spans="1:26" ht="12.75" customHeight="1">
      <c r="A161" s="98"/>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row>
    <row r="162" spans="1:26" ht="12.75" customHeight="1">
      <c r="A162" s="98"/>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row>
    <row r="163" spans="1:26" ht="12.75" customHeight="1">
      <c r="A163" s="98"/>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row>
    <row r="164" spans="1:26" ht="12.75" customHeight="1">
      <c r="A164" s="98"/>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row>
    <row r="165" spans="1:26" ht="12.75" customHeight="1">
      <c r="A165" s="98"/>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row>
    <row r="166" spans="1:26" ht="12.75" customHeight="1">
      <c r="A166" s="98"/>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row>
    <row r="167" spans="1:26" ht="12.75" customHeight="1">
      <c r="A167" s="98"/>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row>
    <row r="168" spans="1:26" ht="12.75" customHeight="1">
      <c r="A168" s="9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row>
    <row r="169" spans="1:26" ht="12.75" customHeight="1">
      <c r="A169" s="98"/>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row>
    <row r="170" spans="1:26" ht="12.75" customHeight="1">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row>
    <row r="171" spans="1:26" ht="12.75" customHeight="1">
      <c r="A171" s="98"/>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row>
    <row r="172" spans="1:26" ht="12.75" customHeight="1">
      <c r="A172" s="98"/>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row>
    <row r="173" spans="1:26" ht="12.75" customHeight="1">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row>
    <row r="174" spans="1:26" ht="12.75" customHeight="1">
      <c r="A174" s="98"/>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row>
    <row r="175" spans="1:26" ht="12.75" customHeight="1">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row>
    <row r="176" spans="1:26" ht="12.75" customHeight="1">
      <c r="A176" s="98"/>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row>
    <row r="177" spans="1:26" ht="12.75" customHeight="1">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row>
    <row r="178" spans="1:26" ht="12.75" customHeight="1">
      <c r="A178" s="9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row>
    <row r="179" spans="1:26" ht="12.75" customHeight="1">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row>
    <row r="180" spans="1:26" ht="12.75" customHeight="1">
      <c r="A180" s="98"/>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row>
    <row r="181" spans="1:26" ht="12.75" customHeight="1">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row>
    <row r="182" spans="1:26" ht="12.75" customHeight="1">
      <c r="A182" s="98"/>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row>
    <row r="183" spans="1:26" ht="12.75" customHeight="1">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row>
    <row r="184" spans="1:26" ht="12.75" customHeight="1">
      <c r="A184" s="98"/>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row>
    <row r="185" spans="1:26" ht="12.75" customHeight="1">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row>
    <row r="186" spans="1:26" ht="12.75" customHeight="1">
      <c r="A186" s="98"/>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row>
    <row r="187" spans="1:26" ht="12.75" customHeight="1">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row>
    <row r="188" spans="1:26" ht="12.75" customHeight="1">
      <c r="A188" s="9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row>
    <row r="189" spans="1:26" ht="12.75" customHeight="1">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row>
    <row r="190" spans="1:26" ht="12.75" customHeight="1">
      <c r="A190" s="98"/>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row>
    <row r="191" spans="1:26" ht="12.75" customHeight="1">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row>
    <row r="192" spans="1:26" ht="12.75" customHeight="1">
      <c r="A192" s="98"/>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row>
    <row r="193" spans="1:26" ht="12.75" customHeight="1">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row>
    <row r="194" spans="1:26" ht="12.75" customHeight="1">
      <c r="A194" s="98"/>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row>
    <row r="195" spans="1:26" ht="12.75" customHeight="1">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row>
    <row r="196" spans="1:26" ht="12.75" customHeight="1">
      <c r="A196" s="98"/>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row>
    <row r="197" spans="1:26" ht="12.75" customHeight="1">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row>
    <row r="198" spans="1:26" ht="12.75" customHeight="1">
      <c r="A198" s="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row>
    <row r="199" spans="1:26" ht="12.75" customHeight="1">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row>
    <row r="200" spans="1:26" ht="12.75" customHeight="1">
      <c r="A200" s="98"/>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row>
    <row r="201" spans="1:26" ht="12.75" customHeight="1">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row>
    <row r="202" spans="1:26" ht="12.75" customHeight="1">
      <c r="A202" s="98"/>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row>
    <row r="203" spans="1:26" ht="12.75" customHeight="1">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row>
    <row r="204" spans="1:26" ht="12.75" customHeight="1">
      <c r="A204" s="98"/>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row>
    <row r="205" spans="1:26" ht="12.75" customHeight="1">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row>
    <row r="206" spans="1:26" ht="12.75" customHeight="1">
      <c r="A206" s="98"/>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row>
    <row r="207" spans="1:26" ht="12.75" customHeight="1">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row>
    <row r="208" spans="1:26" ht="12.75" customHeight="1">
      <c r="A208" s="9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row>
    <row r="209" spans="1:26" ht="12.75" customHeight="1">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row>
    <row r="210" spans="1:26" ht="12.75" customHeight="1">
      <c r="A210" s="98"/>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row>
    <row r="211" spans="1:26" ht="12.75" customHeight="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row>
    <row r="212" spans="1:26" ht="12.75" customHeight="1">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row>
    <row r="213" spans="1:26" ht="12.75" customHeight="1">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row>
    <row r="214" spans="1:26" ht="12.75" customHeight="1">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row>
    <row r="215" spans="1:26" ht="12.75" customHeight="1">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row>
    <row r="216" spans="1:26" ht="12.75" customHeight="1">
      <c r="A216" s="98"/>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row>
    <row r="217" spans="1:26" ht="12.75" customHeight="1">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row>
    <row r="218" spans="1:26" ht="12.75" customHeight="1">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row>
    <row r="219" spans="1:26" ht="12.75" customHeight="1">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row>
    <row r="220" spans="1:26" ht="12.75" customHeight="1">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row>
    <row r="221" spans="1:26" ht="12.75" customHeight="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row>
    <row r="222" spans="1:26" ht="12.75" customHeight="1">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row>
    <row r="223" spans="1:26" ht="12.75" customHeight="1">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row>
    <row r="224" spans="1:26" ht="12.75" customHeight="1">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row>
    <row r="225" spans="1:26" ht="12.75" customHeight="1">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row>
    <row r="226" spans="1:26" ht="12.75" customHeight="1">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row>
    <row r="227" spans="1:26" ht="12.75" customHeight="1">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row>
    <row r="228" spans="1:26" ht="12.75" customHeight="1">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row>
    <row r="229" spans="1:26" ht="12.75" customHeight="1">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row>
    <row r="230" spans="1:26" ht="12.75" customHeight="1">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row>
    <row r="231" spans="1:26" ht="12.75" customHeight="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row>
    <row r="232" spans="1:26" ht="12.75" customHeight="1">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row>
    <row r="233" spans="1:26" ht="12.75" customHeight="1">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row>
    <row r="234" spans="1:26" ht="12.75" customHeight="1">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row>
    <row r="235" spans="1:26" ht="12.75" customHeight="1">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row>
    <row r="236" spans="1:26" ht="12.75" customHeight="1">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row>
    <row r="237" spans="1:26" ht="12.75" customHeight="1">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row>
    <row r="238" spans="1:26" ht="12.75" customHeight="1">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row>
    <row r="239" spans="1:26" ht="12.75" customHeight="1">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row>
    <row r="240" spans="1:26" ht="12.75" customHeight="1">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row>
    <row r="241" spans="1:26" ht="12.75" customHeight="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row>
    <row r="242" spans="1:26" ht="12.75" customHeight="1">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row>
    <row r="243" spans="1:26" ht="12.75" customHeight="1">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row>
    <row r="244" spans="1:26" ht="12.75" customHeight="1">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row>
    <row r="245" spans="1:26" ht="12.75" customHeight="1">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row>
    <row r="246" spans="1:26" ht="12.75" customHeight="1">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row>
    <row r="247" spans="1:26" ht="12.75" customHeight="1">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row>
    <row r="248" spans="1:26" ht="12.75" customHeight="1">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row>
    <row r="249" spans="1:26" ht="12.75" customHeight="1">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row>
    <row r="250" spans="1:26" ht="12.75" customHeight="1">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row>
    <row r="251" spans="1:26" ht="12.75" customHeight="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row>
    <row r="252" spans="1:26" ht="12.75" customHeight="1">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row>
    <row r="253" spans="1:26" ht="12.75" customHeight="1">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row>
    <row r="254" spans="1:26" ht="12.75" customHeight="1">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row>
    <row r="255" spans="1:26" ht="12.75" customHeight="1">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row>
    <row r="256" spans="1:26" ht="12.75" customHeight="1">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row>
    <row r="257" spans="1:26" ht="12.75" customHeight="1">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row>
    <row r="258" spans="1:26" ht="12.75" customHeight="1">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row>
    <row r="259" spans="1:26" ht="12.75" customHeight="1">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row>
    <row r="260" spans="1:26" ht="12.75" customHeight="1">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row>
    <row r="261" spans="1:26" ht="12.75" customHeight="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row>
    <row r="262" spans="1:26" ht="12.75" customHeight="1">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row>
    <row r="263" spans="1:26" ht="12.75" customHeight="1">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row>
    <row r="264" spans="1:26" ht="12.75" customHeight="1">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row>
    <row r="265" spans="1:26" ht="12.75" customHeight="1">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row>
    <row r="266" spans="1:26" ht="12.75" customHeight="1">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row>
    <row r="267" spans="1:26" ht="12.75" customHeight="1">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row>
    <row r="268" spans="1:26" ht="12.75" customHeight="1">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row>
    <row r="269" spans="1:26" ht="12.75" customHeight="1">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row>
    <row r="270" spans="1:26" ht="12.75" customHeight="1">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row>
    <row r="271" spans="1:26" ht="12.75" customHeight="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row>
    <row r="272" spans="1:26" ht="12.75" customHeight="1">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row>
    <row r="273" spans="1:26" ht="12.75" customHeight="1">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row>
    <row r="274" spans="1:26" ht="12.75" customHeight="1">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row>
    <row r="275" spans="1:26" ht="12.75" customHeight="1">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row>
    <row r="276" spans="1:26" ht="12.75" customHeight="1">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row>
    <row r="277" spans="1:26" ht="12.75" customHeight="1">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row>
    <row r="278" spans="1:26" ht="12.75" customHeight="1">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row>
    <row r="279" spans="1:26" ht="12.75" customHeight="1">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row>
    <row r="280" spans="1:26" ht="12.75" customHeight="1">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row>
    <row r="281" spans="1:26" ht="12.75" customHeight="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row>
    <row r="282" spans="1:26" ht="12.75" customHeight="1">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row>
    <row r="283" spans="1:26" ht="12.75" customHeight="1">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row>
    <row r="284" spans="1:26" ht="12.75" customHeight="1">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row>
    <row r="285" spans="1:26" ht="12.75" customHeight="1">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row>
    <row r="286" spans="1:26" ht="12.75" customHeight="1">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row>
    <row r="287" spans="1:26" ht="12.75" customHeight="1">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row>
    <row r="288" spans="1:26" ht="12.75" customHeight="1">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row>
    <row r="289" spans="1:26" ht="12.75" customHeight="1">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row>
    <row r="290" spans="1:26" ht="12.75" customHeight="1">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row>
    <row r="291" spans="1:26" ht="12.75" customHeight="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row>
    <row r="292" spans="1:26" ht="12.75" customHeight="1">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row>
    <row r="293" spans="1:26" ht="12.75" customHeight="1">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row>
    <row r="294" spans="1:26" ht="12.75" customHeight="1">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row>
    <row r="295" spans="1:26" ht="12.75" customHeight="1">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row>
    <row r="296" spans="1:26" ht="12.75" customHeight="1">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row>
    <row r="297" spans="1:26" ht="12.75" customHeight="1">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row>
    <row r="298" spans="1:26" ht="12.75" customHeight="1">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row>
    <row r="299" spans="1:26" ht="12.75" customHeight="1">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row>
    <row r="300" spans="1:26" ht="12.75" customHeight="1">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row>
    <row r="301" spans="1:26" ht="12.75" customHeight="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row>
    <row r="302" spans="1:26" ht="12.75" customHeight="1">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row>
    <row r="303" spans="1:26" ht="12.75" customHeight="1">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row>
    <row r="304" spans="1:26" ht="12.75" customHeight="1">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row>
    <row r="305" spans="1:26" ht="12.75" customHeight="1">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row>
    <row r="306" spans="1:26" ht="12.75" customHeight="1">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row>
    <row r="307" spans="1:26" ht="12.75" customHeight="1">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row>
    <row r="308" spans="1:26" ht="12.75" customHeight="1">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row>
    <row r="309" spans="1:26" ht="12.75" customHeight="1">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row>
    <row r="310" spans="1:26" ht="12.75" customHeight="1">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row>
    <row r="311" spans="1:26" ht="12.75" customHeight="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row>
    <row r="312" spans="1:26" ht="12.75" customHeight="1">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row>
    <row r="313" spans="1:26" ht="12.75" customHeight="1">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row>
    <row r="314" spans="1:26" ht="12.75" customHeight="1">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row>
    <row r="315" spans="1:26" ht="12.75" customHeight="1">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row>
    <row r="316" spans="1:26" ht="12.75" customHeight="1">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row>
    <row r="317" spans="1:26" ht="12.75" customHeight="1">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row>
    <row r="318" spans="1:26" ht="12.75" customHeight="1">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row>
    <row r="319" spans="1:26" ht="12.75" customHeight="1">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row>
    <row r="320" spans="1:26" ht="12.75" customHeight="1">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row>
    <row r="321" spans="1:26" ht="12.75" customHeight="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row>
    <row r="322" spans="1:26" ht="12.75" customHeight="1">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row>
    <row r="323" spans="1:26" ht="12.75" customHeight="1">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row>
    <row r="324" spans="1:26" ht="12.75" customHeight="1">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row>
    <row r="325" spans="1:26" ht="12.75" customHeight="1">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row>
    <row r="326" spans="1:26" ht="12.75" customHeight="1">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row>
    <row r="327" spans="1:26" ht="12.75" customHeight="1">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row>
    <row r="328" spans="1:26" ht="12.75" customHeight="1">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row>
    <row r="329" spans="1:26" ht="12.75" customHeight="1">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row>
    <row r="330" spans="1:26" ht="12.75" customHeight="1">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row>
    <row r="331" spans="1:26" ht="12.75" customHeight="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row>
    <row r="332" spans="1:26" ht="12.75" customHeight="1">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row>
    <row r="333" spans="1:26" ht="12.75" customHeight="1">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row>
    <row r="334" spans="1:26" ht="12.75" customHeight="1">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row>
    <row r="335" spans="1:26" ht="12.75" customHeight="1">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row>
    <row r="336" spans="1:26" ht="12.75" customHeight="1">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row>
    <row r="337" spans="1:26" ht="12.75" customHeight="1">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row>
    <row r="338" spans="1:26" ht="12.75" customHeight="1">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row>
    <row r="339" spans="1:26" ht="12.75" customHeight="1">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row>
    <row r="340" spans="1:26" ht="12.75" customHeight="1">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row>
    <row r="341" spans="1:26" ht="12.75" customHeight="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row>
    <row r="342" spans="1:26" ht="12.75" customHeight="1">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row>
    <row r="343" spans="1:26" ht="12.75" customHeight="1">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row>
    <row r="344" spans="1:26" ht="12.75" customHeight="1">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row>
    <row r="345" spans="1:26" ht="12.75" customHeight="1">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row>
    <row r="346" spans="1:26" ht="12.75" customHeight="1">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row>
    <row r="347" spans="1:26" ht="12.75" customHeight="1">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row>
    <row r="348" spans="1:26" ht="12.75" customHeight="1">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row>
    <row r="349" spans="1:26" ht="12.75" customHeight="1">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row>
    <row r="350" spans="1:26" ht="12.75" customHeight="1">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row>
    <row r="351" spans="1:26" ht="12.75" customHeight="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row>
    <row r="352" spans="1:26" ht="12.75" customHeight="1">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row>
    <row r="353" spans="1:26" ht="12.75" customHeight="1">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row>
    <row r="354" spans="1:26" ht="12.75" customHeight="1">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row>
    <row r="355" spans="1:26" ht="12.75" customHeight="1">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row>
    <row r="356" spans="1:26" ht="12.75" customHeight="1">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row>
    <row r="357" spans="1:26" ht="12.75" customHeight="1">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row>
    <row r="358" spans="1:26" ht="12.75" customHeight="1">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row>
    <row r="359" spans="1:26" ht="12.75" customHeight="1">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row>
    <row r="360" spans="1:26" ht="12.75" customHeight="1">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row>
    <row r="361" spans="1:26" ht="12.75" customHeight="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row>
    <row r="362" spans="1:26" ht="12.75" customHeight="1">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row>
    <row r="363" spans="1:26" ht="12.75" customHeight="1">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row>
    <row r="364" spans="1:26" ht="12.75" customHeight="1">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row>
    <row r="365" spans="1:26" ht="12.75" customHeight="1">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row>
    <row r="366" spans="1:26" ht="12.75" customHeight="1">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row>
    <row r="367" spans="1:26" ht="12.75" customHeight="1">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row>
    <row r="368" spans="1:26" ht="12.75" customHeight="1">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row>
    <row r="369" spans="1:26" ht="12.75" customHeight="1">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row>
    <row r="370" spans="1:26" ht="12.75" customHeight="1">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row>
    <row r="371" spans="1:26" ht="12.75" customHeight="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row>
    <row r="372" spans="1:26" ht="12.75" customHeight="1">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row>
    <row r="373" spans="1:26" ht="12.75" customHeight="1">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row>
    <row r="374" spans="1:26" ht="12.75" customHeight="1">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row>
    <row r="375" spans="1:26" ht="12.75" customHeight="1">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row>
    <row r="376" spans="1:26" ht="12.75" customHeight="1">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row>
    <row r="377" spans="1:26" ht="12.75" customHeight="1">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row>
    <row r="378" spans="1:26" ht="12.75" customHeight="1">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row>
    <row r="379" spans="1:26" ht="12.75" customHeight="1">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row>
    <row r="380" spans="1:26" ht="12.75" customHeight="1">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row>
    <row r="381" spans="1:26" ht="12.75" customHeight="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row>
    <row r="382" spans="1:26" ht="12.75" customHeight="1">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row>
    <row r="383" spans="1:26" ht="12.75" customHeight="1">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row>
    <row r="384" spans="1:26" ht="12.75" customHeight="1">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row>
    <row r="385" spans="1:26" ht="12.75" customHeight="1">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row>
    <row r="386" spans="1:26" ht="12.75" customHeight="1">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row>
    <row r="387" spans="1:26" ht="12.75" customHeight="1">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row>
    <row r="388" spans="1:26" ht="12.75" customHeight="1">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row>
    <row r="389" spans="1:26" ht="12.75" customHeight="1">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row>
    <row r="390" spans="1:26" ht="12.75" customHeight="1">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row>
    <row r="391" spans="1:26" ht="12.75" customHeight="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row>
    <row r="392" spans="1:26" ht="12.75" customHeight="1">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row>
    <row r="393" spans="1:26" ht="12.75" customHeight="1">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row>
    <row r="394" spans="1:26" ht="12.75" customHeight="1">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row>
    <row r="395" spans="1:26" ht="12.75" customHeight="1">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row>
    <row r="396" spans="1:26" ht="12.75" customHeight="1">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row>
    <row r="397" spans="1:26" ht="12.75" customHeight="1">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row>
    <row r="398" spans="1:26" ht="12.75" customHeight="1">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row>
    <row r="399" spans="1:26" ht="12.75" customHeight="1">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row>
    <row r="400" spans="1:26" ht="12.75" customHeight="1">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row>
    <row r="401" spans="1:26" ht="12.75" customHeight="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row>
    <row r="402" spans="1:26" ht="12.75" customHeight="1">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row>
    <row r="403" spans="1:26" ht="12.75" customHeight="1">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row>
    <row r="404" spans="1:26" ht="12.75" customHeight="1">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row>
    <row r="405" spans="1:26" ht="12.75" customHeight="1">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row>
    <row r="406" spans="1:26" ht="12.75" customHeight="1">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row>
    <row r="407" spans="1:26" ht="12.75" customHeight="1">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row>
    <row r="408" spans="1:26" ht="12.75" customHeight="1">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row>
    <row r="409" spans="1:26" ht="12.75" customHeight="1">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row>
    <row r="410" spans="1:26" ht="12.75" customHeight="1">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row>
    <row r="411" spans="1:26" ht="12.75" customHeight="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row>
    <row r="412" spans="1:26" ht="12.75" customHeight="1">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row>
    <row r="413" spans="1:26" ht="12.75" customHeight="1">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row>
    <row r="414" spans="1:26" ht="12.75" customHeight="1">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row>
    <row r="415" spans="1:26" ht="12.75" customHeight="1">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row>
    <row r="416" spans="1:26" ht="12.75" customHeight="1">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row>
    <row r="417" spans="1:26" ht="12.75" customHeight="1">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row>
    <row r="418" spans="1:26" ht="12.75" customHeight="1">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row>
    <row r="419" spans="1:26" ht="12.75" customHeight="1">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row>
    <row r="420" spans="1:26" ht="12.75" customHeight="1">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row>
    <row r="421" spans="1:26" ht="12.75" customHeight="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row>
    <row r="422" spans="1:26" ht="12.75" customHeight="1">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row>
    <row r="423" spans="1:26" ht="12.75" customHeight="1">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row>
    <row r="424" spans="1:26" ht="12.75" customHeight="1">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row>
    <row r="425" spans="1:26" ht="12.75" customHeight="1">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row>
    <row r="426" spans="1:26" ht="12.75" customHeight="1">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row>
    <row r="427" spans="1:26" ht="12.75" customHeight="1">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row>
    <row r="428" spans="1:26" ht="12.75" customHeight="1">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row>
    <row r="429" spans="1:26" ht="12.75" customHeight="1">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row>
    <row r="430" spans="1:26" ht="12.75" customHeight="1">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row>
    <row r="431" spans="1:26" ht="12.75" customHeight="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row>
    <row r="432" spans="1:26" ht="12.75" customHeight="1">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row>
    <row r="433" spans="1:26" ht="12.75" customHeight="1">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row>
    <row r="434" spans="1:26" ht="12.75" customHeight="1">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row>
    <row r="435" spans="1:26" ht="12.75" customHeight="1">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row>
    <row r="436" spans="1:26" ht="12.75" customHeight="1">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row>
    <row r="437" spans="1:26" ht="12.75" customHeight="1">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row>
    <row r="438" spans="1:26" ht="12.75" customHeight="1">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row>
    <row r="439" spans="1:26" ht="12.75" customHeight="1">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row>
    <row r="440" spans="1:26" ht="12.75" customHeight="1">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row>
    <row r="441" spans="1:26" ht="12.75" customHeight="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row>
    <row r="442" spans="1:26" ht="12.75" customHeight="1">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row>
    <row r="443" spans="1:26" ht="12.75" customHeight="1">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row>
    <row r="444" spans="1:26" ht="12.75" customHeight="1">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row>
    <row r="445" spans="1:26" ht="12.75" customHeight="1">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row>
    <row r="446" spans="1:26" ht="12.75" customHeight="1">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row>
    <row r="447" spans="1:26" ht="12.75" customHeight="1">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row>
    <row r="448" spans="1:26" ht="12.75" customHeight="1">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row>
    <row r="449" spans="1:26" ht="12.75" customHeight="1">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row>
    <row r="450" spans="1:26" ht="12.75" customHeight="1">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row>
    <row r="451" spans="1:26" ht="12.75" customHeight="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row>
    <row r="452" spans="1:26" ht="12.75" customHeight="1">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row>
    <row r="453" spans="1:26" ht="12.75" customHeight="1">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row>
    <row r="454" spans="1:26" ht="12.75" customHeight="1">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row>
    <row r="455" spans="1:26" ht="12.75" customHeight="1">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row>
    <row r="456" spans="1:26" ht="12.75" customHeight="1">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row>
    <row r="457" spans="1:26" ht="12.75" customHeight="1">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row>
    <row r="458" spans="1:26" ht="12.75" customHeight="1">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row>
    <row r="459" spans="1:26" ht="12.75" customHeight="1">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row>
    <row r="460" spans="1:26" ht="12.75" customHeight="1">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row>
    <row r="461" spans="1:26" ht="12.75" customHeight="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row>
    <row r="462" spans="1:26" ht="12.75" customHeight="1">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row>
    <row r="463" spans="1:26" ht="12.75" customHeight="1">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row>
    <row r="464" spans="1:26" ht="12.75" customHeight="1">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row>
    <row r="465" spans="1:26" ht="12.75" customHeight="1">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row>
    <row r="466" spans="1:26" ht="12.75" customHeight="1">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row>
    <row r="467" spans="1:26" ht="12.75" customHeight="1">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row>
    <row r="468" spans="1:26" ht="12.75" customHeight="1">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row>
    <row r="469" spans="1:26" ht="12.75" customHeight="1">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row>
    <row r="470" spans="1:26" ht="12.75" customHeight="1">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row>
    <row r="471" spans="1:26" ht="12.75" customHeight="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row>
    <row r="472" spans="1:26" ht="12.75" customHeight="1">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row>
    <row r="473" spans="1:26" ht="12.75" customHeight="1">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row>
    <row r="474" spans="1:26" ht="12.75" customHeight="1">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row>
    <row r="475" spans="1:26" ht="12.75" customHeight="1">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row>
    <row r="476" spans="1:26" ht="12.75" customHeight="1">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row>
    <row r="477" spans="1:26" ht="12.75" customHeight="1">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row>
    <row r="478" spans="1:26" ht="12.75" customHeight="1">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row>
    <row r="479" spans="1:26" ht="12.75" customHeight="1">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row>
    <row r="480" spans="1:26" ht="12.75" customHeight="1">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row>
    <row r="481" spans="1:26" ht="12.75" customHeight="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row>
    <row r="482" spans="1:26" ht="12.75" customHeight="1">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row>
    <row r="483" spans="1:26" ht="12.75" customHeight="1">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row>
    <row r="484" spans="1:26" ht="12.75" customHeight="1">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row>
    <row r="485" spans="1:26" ht="12.75" customHeight="1">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row>
    <row r="486" spans="1:26" ht="12.75" customHeight="1">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row>
    <row r="487" spans="1:26" ht="12.75" customHeight="1">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row>
    <row r="488" spans="1:26" ht="12.75" customHeight="1">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row>
    <row r="489" spans="1:26" ht="12.75" customHeight="1">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row>
    <row r="490" spans="1:26" ht="12.75" customHeight="1">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row>
    <row r="491" spans="1:26" ht="12.75" customHeight="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row>
    <row r="492" spans="1:26" ht="12.75" customHeight="1">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row>
    <row r="493" spans="1:26" ht="12.75" customHeight="1">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row>
    <row r="494" spans="1:26" ht="12.75" customHeight="1">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row>
    <row r="495" spans="1:26" ht="12.75" customHeight="1">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row>
    <row r="496" spans="1:26" ht="12.75" customHeight="1">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row>
    <row r="497" spans="1:26" ht="12.75" customHeight="1">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row>
    <row r="498" spans="1:26" ht="12.75" customHeight="1">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row>
    <row r="499" spans="1:26" ht="12.75" customHeight="1">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row>
    <row r="500" spans="1:26" ht="12.75" customHeight="1">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row>
    <row r="501" spans="1:26" ht="12.75" customHeight="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row>
    <row r="502" spans="1:26" ht="12.75" customHeight="1">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row>
    <row r="503" spans="1:26" ht="12.75" customHeight="1">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row>
    <row r="504" spans="1:26" ht="12.75" customHeight="1">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row>
    <row r="505" spans="1:26" ht="12.75" customHeight="1">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row>
    <row r="506" spans="1:26" ht="12.75" customHeight="1">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row>
    <row r="507" spans="1:26" ht="12.75" customHeight="1">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row>
    <row r="508" spans="1:26" ht="12.75" customHeight="1">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row>
    <row r="509" spans="1:26" ht="12.75" customHeight="1">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row>
    <row r="510" spans="1:26" ht="12.75" customHeight="1">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row>
    <row r="511" spans="1:26" ht="12.75" customHeight="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row>
    <row r="512" spans="1:26" ht="12.75" customHeight="1">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row>
    <row r="513" spans="1:26" ht="12.75" customHeight="1">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row>
    <row r="514" spans="1:26" ht="12.75" customHeight="1">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row>
    <row r="515" spans="1:26" ht="12.75" customHeight="1">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row>
    <row r="516" spans="1:26" ht="12.75" customHeight="1">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row>
    <row r="517" spans="1:26" ht="12.75" customHeight="1">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row>
    <row r="518" spans="1:26" ht="12.75" customHeight="1">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row>
    <row r="519" spans="1:26" ht="12.75" customHeight="1">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row>
    <row r="520" spans="1:26" ht="12.75" customHeight="1">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row>
    <row r="521" spans="1:26" ht="12.75" customHeight="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row>
    <row r="522" spans="1:26" ht="12.75" customHeight="1">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row>
    <row r="523" spans="1:26" ht="12.75" customHeight="1">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row>
    <row r="524" spans="1:26" ht="12.75" customHeight="1">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row>
    <row r="525" spans="1:26" ht="12.75" customHeight="1">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row>
    <row r="526" spans="1:26" ht="12.75" customHeight="1">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row>
    <row r="527" spans="1:26" ht="12.75" customHeight="1">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row>
    <row r="528" spans="1:26" ht="12.75" customHeight="1">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row>
    <row r="529" spans="1:26" ht="12.75" customHeight="1">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row>
    <row r="530" spans="1:26" ht="12.75" customHeight="1">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row>
    <row r="531" spans="1:26" ht="12.75" customHeight="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row>
    <row r="532" spans="1:26" ht="12.75" customHeight="1">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row>
    <row r="533" spans="1:26" ht="12.75" customHeight="1">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row>
    <row r="534" spans="1:26" ht="12.75" customHeight="1">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row>
    <row r="535" spans="1:26" ht="12.75" customHeight="1">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row>
    <row r="536" spans="1:26" ht="12.75" customHeight="1">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row>
    <row r="537" spans="1:26" ht="12.75" customHeight="1">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row>
    <row r="538" spans="1:26" ht="12.75" customHeight="1">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row>
    <row r="539" spans="1:26" ht="12.75" customHeight="1">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row>
    <row r="540" spans="1:26" ht="12.75" customHeight="1">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row>
    <row r="541" spans="1:26" ht="12.75" customHeight="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row>
    <row r="542" spans="1:26" ht="12.75" customHeight="1">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row>
    <row r="543" spans="1:26" ht="12.75" customHeight="1">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row>
    <row r="544" spans="1:26" ht="12.75" customHeight="1">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row>
    <row r="545" spans="1:26" ht="12.75" customHeight="1">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row>
    <row r="546" spans="1:26" ht="12.75" customHeight="1">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row>
    <row r="547" spans="1:26" ht="12.75" customHeight="1">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row>
    <row r="548" spans="1:26" ht="12.75" customHeight="1">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row>
    <row r="549" spans="1:26" ht="12.75" customHeight="1">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row>
    <row r="550" spans="1:26" ht="12.75" customHeight="1">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row>
    <row r="551" spans="1:26" ht="12.75" customHeight="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row>
    <row r="552" spans="1:26" ht="12.75" customHeight="1">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row>
    <row r="553" spans="1:26" ht="12.75" customHeight="1">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row>
    <row r="554" spans="1:26" ht="12.75" customHeight="1">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row>
    <row r="555" spans="1:26" ht="12.75" customHeight="1">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row>
    <row r="556" spans="1:26" ht="12.75" customHeight="1">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row>
    <row r="557" spans="1:26" ht="12.75" customHeight="1">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row>
    <row r="558" spans="1:26" ht="12.75" customHeight="1">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row>
    <row r="559" spans="1:26" ht="12.75" customHeight="1">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row>
    <row r="560" spans="1:26" ht="12.75" customHeight="1">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row>
    <row r="561" spans="1:26" ht="12.75" customHeight="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row>
    <row r="562" spans="1:26" ht="12.75" customHeight="1">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row>
    <row r="563" spans="1:26" ht="12.75" customHeight="1">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row>
    <row r="564" spans="1:26" ht="12.75" customHeight="1">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row>
    <row r="565" spans="1:26" ht="12.75" customHeight="1">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row>
    <row r="566" spans="1:26" ht="12.75" customHeight="1">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row>
    <row r="567" spans="1:26" ht="12.75" customHeight="1">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row>
    <row r="568" spans="1:26" ht="12.75" customHeight="1">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row>
    <row r="569" spans="1:26" ht="12.75" customHeight="1">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row>
    <row r="570" spans="1:26" ht="12.75" customHeight="1">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row>
    <row r="571" spans="1:26" ht="12.75" customHeight="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row>
    <row r="572" spans="1:26" ht="12.75" customHeight="1">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row>
    <row r="573" spans="1:26" ht="12.75" customHeight="1">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row>
    <row r="574" spans="1:26" ht="12.75" customHeight="1">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row>
    <row r="575" spans="1:26" ht="12.75" customHeight="1">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row>
    <row r="576" spans="1:26" ht="12.75" customHeight="1">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row>
    <row r="577" spans="1:26" ht="12.75" customHeight="1">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row>
    <row r="578" spans="1:26" ht="12.75" customHeight="1">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row>
    <row r="579" spans="1:26" ht="12.75" customHeight="1">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row>
    <row r="580" spans="1:26" ht="12.75" customHeight="1">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row>
    <row r="581" spans="1:26" ht="12.75" customHeight="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row>
    <row r="582" spans="1:26" ht="12.75" customHeight="1">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row>
    <row r="583" spans="1:26" ht="12.75" customHeight="1">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row>
    <row r="584" spans="1:26" ht="12.75" customHeight="1">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row>
    <row r="585" spans="1:26" ht="12.75" customHeight="1">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row>
    <row r="586" spans="1:26" ht="12.75" customHeight="1">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row>
    <row r="587" spans="1:26" ht="12.75" customHeight="1">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row>
    <row r="588" spans="1:26" ht="12.75" customHeight="1">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row>
    <row r="589" spans="1:26" ht="12.75" customHeight="1">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row>
    <row r="590" spans="1:26" ht="12.75" customHeight="1">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row>
    <row r="591" spans="1:26" ht="12.75" customHeight="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row>
    <row r="592" spans="1:26" ht="12.75" customHeight="1">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row>
    <row r="593" spans="1:26" ht="12.75" customHeight="1">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row>
    <row r="594" spans="1:26" ht="12.75" customHeight="1">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row>
    <row r="595" spans="1:26" ht="12.75" customHeight="1">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row>
    <row r="596" spans="1:26" ht="12.75" customHeight="1">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row>
    <row r="597" spans="1:26" ht="12.75" customHeight="1">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row>
    <row r="598" spans="1:26" ht="12.75" customHeight="1">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row>
    <row r="599" spans="1:26" ht="12.75" customHeight="1">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row>
    <row r="600" spans="1:26" ht="12.75" customHeight="1">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row>
    <row r="601" spans="1:26" ht="12.75" customHeight="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row>
    <row r="602" spans="1:26" ht="12.75" customHeight="1">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row>
    <row r="603" spans="1:26" ht="12.75" customHeight="1">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row>
    <row r="604" spans="1:26" ht="12.75" customHeight="1">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row>
    <row r="605" spans="1:26" ht="12.75" customHeight="1">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row>
    <row r="606" spans="1:26" ht="12.75" customHeight="1">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row>
    <row r="607" spans="1:26" ht="12.75" customHeight="1">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row>
    <row r="608" spans="1:26" ht="12.75" customHeight="1">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row>
    <row r="609" spans="1:26" ht="12.75" customHeight="1">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row>
    <row r="610" spans="1:26" ht="12.75" customHeight="1">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row>
    <row r="611" spans="1:26" ht="12.75" customHeight="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row>
    <row r="612" spans="1:26" ht="12.75" customHeight="1">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row>
    <row r="613" spans="1:26" ht="12.75" customHeight="1">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row>
    <row r="614" spans="1:26" ht="12.75" customHeight="1">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row>
    <row r="615" spans="1:26" ht="12.75" customHeight="1">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row>
    <row r="616" spans="1:26" ht="12.75" customHeight="1">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row>
    <row r="617" spans="1:26" ht="12.75" customHeight="1">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row>
    <row r="618" spans="1:26" ht="12.75" customHeight="1">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row>
    <row r="619" spans="1:26" ht="12.75" customHeight="1">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row>
    <row r="620" spans="1:26" ht="12.75" customHeight="1">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row>
    <row r="621" spans="1:26" ht="12.75" customHeight="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row>
    <row r="622" spans="1:26" ht="12.75" customHeight="1">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row>
    <row r="623" spans="1:26" ht="12.75" customHeight="1">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row>
    <row r="624" spans="1:26" ht="12.75" customHeight="1">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row>
    <row r="625" spans="1:26" ht="12.75" customHeight="1">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row>
    <row r="626" spans="1:26" ht="12.75" customHeight="1">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row>
    <row r="627" spans="1:26" ht="12.75" customHeight="1">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row>
    <row r="628" spans="1:26" ht="12.75" customHeight="1">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row>
    <row r="629" spans="1:26" ht="12.75" customHeight="1">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row>
    <row r="630" spans="1:26" ht="12.75" customHeight="1">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row>
    <row r="631" spans="1:26" ht="12.75" customHeight="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row>
    <row r="632" spans="1:26" ht="12.75" customHeight="1">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row>
    <row r="633" spans="1:26" ht="12.75" customHeight="1">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row>
    <row r="634" spans="1:26" ht="12.75" customHeight="1">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row>
    <row r="635" spans="1:26" ht="12.75" customHeight="1">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row>
    <row r="636" spans="1:26" ht="12.75" customHeight="1">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row>
    <row r="637" spans="1:26" ht="12.75" customHeight="1">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row>
    <row r="638" spans="1:26" ht="12.75" customHeight="1">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row>
    <row r="639" spans="1:26" ht="12.75" customHeight="1">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row>
    <row r="640" spans="1:26" ht="12.75" customHeight="1">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row>
    <row r="641" spans="1:26" ht="12.75" customHeight="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row>
    <row r="642" spans="1:26" ht="12.75" customHeight="1">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row>
    <row r="643" spans="1:26" ht="12.75" customHeight="1">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row>
    <row r="644" spans="1:26" ht="12.75" customHeight="1">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row>
    <row r="645" spans="1:26" ht="12.75" customHeight="1">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row>
    <row r="646" spans="1:26" ht="12.75" customHeight="1">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row>
    <row r="647" spans="1:26" ht="12.75" customHeight="1">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row>
    <row r="648" spans="1:26" ht="12.75" customHeight="1">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row>
    <row r="649" spans="1:26" ht="12.75" customHeight="1">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row>
    <row r="650" spans="1:26" ht="12.75" customHeight="1">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row>
    <row r="651" spans="1:26" ht="12.75" customHeight="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row>
    <row r="652" spans="1:26" ht="12.75" customHeight="1">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row>
    <row r="653" spans="1:26" ht="12.75" customHeight="1">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row>
    <row r="654" spans="1:26" ht="12.75" customHeight="1">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row>
    <row r="655" spans="1:26" ht="12.75" customHeight="1">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row>
    <row r="656" spans="1:26" ht="12.75" customHeight="1">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row>
    <row r="657" spans="1:26" ht="12.75" customHeight="1">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row>
    <row r="658" spans="1:26" ht="12.75" customHeight="1">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row>
    <row r="659" spans="1:26" ht="12.75" customHeight="1">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row>
    <row r="660" spans="1:26" ht="12.75" customHeight="1">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row>
    <row r="661" spans="1:26" ht="12.75" customHeight="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row>
    <row r="662" spans="1:26" ht="12.75" customHeight="1">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row>
    <row r="663" spans="1:26" ht="12.75" customHeight="1">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row>
    <row r="664" spans="1:26" ht="12.75" customHeight="1">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row>
    <row r="665" spans="1:26" ht="12.75" customHeight="1">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row>
    <row r="666" spans="1:26" ht="12.75" customHeight="1">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row>
    <row r="667" spans="1:26" ht="12.75" customHeight="1">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row>
    <row r="668" spans="1:26" ht="12.75" customHeight="1">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row>
    <row r="669" spans="1:26" ht="12.75" customHeight="1">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row>
    <row r="670" spans="1:26" ht="12.75" customHeight="1">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row>
    <row r="671" spans="1:26" ht="12.75" customHeight="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row>
    <row r="672" spans="1:26" ht="12.75" customHeight="1">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row>
    <row r="673" spans="1:26" ht="12.75" customHeight="1">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row>
    <row r="674" spans="1:26" ht="12.75" customHeight="1">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row>
    <row r="675" spans="1:26" ht="12.75" customHeight="1">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row>
    <row r="676" spans="1:26" ht="12.75" customHeight="1">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row>
    <row r="677" spans="1:26" ht="12.75" customHeight="1">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row>
    <row r="678" spans="1:26" ht="12.75" customHeight="1">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row>
    <row r="679" spans="1:26" ht="12.75" customHeight="1">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row>
    <row r="680" spans="1:26" ht="12.75" customHeight="1">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row>
    <row r="681" spans="1:26" ht="12.75" customHeight="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row>
    <row r="682" spans="1:26" ht="12.75" customHeight="1">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row>
    <row r="683" spans="1:26" ht="12.75" customHeight="1">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row>
    <row r="684" spans="1:26" ht="12.75" customHeight="1">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row>
    <row r="685" spans="1:26" ht="12.75" customHeight="1">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row>
    <row r="686" spans="1:26" ht="12.75" customHeight="1">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row>
    <row r="687" spans="1:26" ht="12.75" customHeight="1">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row>
    <row r="688" spans="1:26" ht="12.75" customHeight="1">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row>
    <row r="689" spans="1:26" ht="12.75" customHeight="1">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row>
    <row r="690" spans="1:26" ht="12.75" customHeight="1">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row>
    <row r="691" spans="1:26" ht="12.75" customHeight="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row>
    <row r="692" spans="1:26" ht="12.75" customHeight="1">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row>
    <row r="693" spans="1:26" ht="12.75" customHeight="1">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row>
    <row r="694" spans="1:26" ht="12.75" customHeight="1">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row>
    <row r="695" spans="1:26" ht="12.75" customHeight="1">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row>
    <row r="696" spans="1:26" ht="12.75" customHeight="1">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row>
    <row r="697" spans="1:26" ht="12.75" customHeight="1">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row>
    <row r="698" spans="1:26" ht="12.75" customHeight="1">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row>
    <row r="699" spans="1:26" ht="12.75" customHeight="1">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row>
    <row r="700" spans="1:26" ht="12.75" customHeight="1">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row>
    <row r="701" spans="1:26" ht="12.75" customHeight="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row>
    <row r="702" spans="1:26" ht="12.75" customHeight="1">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row>
    <row r="703" spans="1:26" ht="12.75" customHeight="1">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row>
    <row r="704" spans="1:26" ht="12.75" customHeight="1">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row>
    <row r="705" spans="1:26" ht="12.75" customHeight="1">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row>
    <row r="706" spans="1:26" ht="12.75" customHeight="1">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row>
    <row r="707" spans="1:26" ht="12.75" customHeight="1">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row>
    <row r="708" spans="1:26" ht="12.75" customHeight="1">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row>
    <row r="709" spans="1:26" ht="12.75" customHeight="1">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row>
    <row r="710" spans="1:26" ht="12.75" customHeight="1">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row>
    <row r="711" spans="1:26" ht="12.75" customHeight="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row>
    <row r="712" spans="1:26" ht="12.75" customHeight="1">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row>
    <row r="713" spans="1:26" ht="12.75" customHeight="1">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row>
    <row r="714" spans="1:26" ht="12.75" customHeight="1">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row>
    <row r="715" spans="1:26" ht="12.75" customHeight="1">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row>
    <row r="716" spans="1:26" ht="12.75" customHeight="1">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row>
    <row r="717" spans="1:26" ht="12.75" customHeight="1">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row>
    <row r="718" spans="1:26" ht="12.75" customHeight="1">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row>
    <row r="719" spans="1:26" ht="12.75" customHeight="1">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row>
    <row r="720" spans="1:26" ht="12.75" customHeight="1">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row>
    <row r="721" spans="1:26" ht="12.75" customHeight="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row>
    <row r="722" spans="1:26" ht="12.75" customHeight="1">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row>
    <row r="723" spans="1:26" ht="12.75" customHeight="1">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row>
    <row r="724" spans="1:26" ht="12.75" customHeight="1">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row>
    <row r="725" spans="1:26" ht="12.75" customHeight="1">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row>
    <row r="726" spans="1:26" ht="12.75" customHeight="1">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row>
    <row r="727" spans="1:26" ht="12.75" customHeight="1">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row>
    <row r="728" spans="1:26" ht="12.75" customHeight="1">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row>
    <row r="729" spans="1:26" ht="12.75" customHeight="1">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row>
    <row r="730" spans="1:26" ht="12.75" customHeight="1">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row>
    <row r="731" spans="1:26" ht="12.75" customHeight="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row>
    <row r="732" spans="1:26" ht="12.75" customHeight="1">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row>
    <row r="733" spans="1:26" ht="12.75" customHeight="1">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row>
    <row r="734" spans="1:26" ht="12.75" customHeight="1">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row>
    <row r="735" spans="1:26" ht="12.75" customHeight="1">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row>
    <row r="736" spans="1:26" ht="12.75" customHeight="1">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row>
    <row r="737" spans="1:26" ht="12.75" customHeight="1">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row>
    <row r="738" spans="1:26" ht="12.75" customHeight="1">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row>
    <row r="739" spans="1:26" ht="12.75" customHeight="1">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row>
    <row r="740" spans="1:26" ht="12.75" customHeight="1">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row>
    <row r="741" spans="1:26" ht="12.75" customHeight="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row>
    <row r="742" spans="1:26" ht="12.75" customHeight="1">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row>
    <row r="743" spans="1:26" ht="12.75" customHeight="1">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row>
    <row r="744" spans="1:26" ht="12.75" customHeight="1">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row>
    <row r="745" spans="1:26" ht="12.75" customHeight="1">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row>
    <row r="746" spans="1:26" ht="12.75" customHeight="1">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row>
    <row r="747" spans="1:26" ht="12.75" customHeight="1">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row>
    <row r="748" spans="1:26" ht="12.75" customHeight="1">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row>
    <row r="749" spans="1:26" ht="12.75" customHeight="1">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row>
    <row r="750" spans="1:26" ht="12.75" customHeight="1">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row>
    <row r="751" spans="1:26" ht="12.75" customHeight="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row>
    <row r="752" spans="1:26" ht="12.75" customHeight="1">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row>
    <row r="753" spans="1:26" ht="12.75" customHeight="1">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row>
    <row r="754" spans="1:26" ht="12.75" customHeight="1">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row>
    <row r="755" spans="1:26" ht="12.75" customHeight="1">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row>
    <row r="756" spans="1:26" ht="12.75" customHeight="1">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row>
    <row r="757" spans="1:26" ht="12.75" customHeight="1">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row>
    <row r="758" spans="1:26" ht="12.75" customHeight="1">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row>
    <row r="759" spans="1:26" ht="12.75" customHeight="1">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row>
    <row r="760" spans="1:26" ht="12.75" customHeight="1">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row>
    <row r="761" spans="1:26" ht="12.75" customHeight="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row>
    <row r="762" spans="1:26" ht="12.75" customHeight="1">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row>
    <row r="763" spans="1:26" ht="12.75" customHeight="1">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row>
    <row r="764" spans="1:26" ht="12.75" customHeight="1">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row>
    <row r="765" spans="1:26" ht="12.75" customHeight="1">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row>
    <row r="766" spans="1:26" ht="12.75" customHeight="1">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row>
    <row r="767" spans="1:26" ht="12.75" customHeight="1">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row>
    <row r="768" spans="1:26" ht="12.75" customHeight="1">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row>
    <row r="769" spans="1:26" ht="12.75" customHeight="1">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row>
    <row r="770" spans="1:26" ht="12.75" customHeight="1">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row>
    <row r="771" spans="1:26" ht="12.75" customHeight="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row>
    <row r="772" spans="1:26" ht="12.75" customHeight="1">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row>
    <row r="773" spans="1:26" ht="12.75" customHeight="1">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row>
    <row r="774" spans="1:26" ht="12.75" customHeight="1">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row>
    <row r="775" spans="1:26" ht="12.75" customHeight="1">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row>
    <row r="776" spans="1:26" ht="12.75" customHeight="1">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row>
    <row r="777" spans="1:26" ht="12.75" customHeight="1">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row>
    <row r="778" spans="1:26" ht="12.75" customHeight="1">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row>
    <row r="779" spans="1:26" ht="12.75" customHeight="1">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row>
    <row r="780" spans="1:26" ht="12.75" customHeight="1">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row>
    <row r="781" spans="1:26" ht="12.75" customHeight="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row>
    <row r="782" spans="1:26" ht="12.75" customHeight="1">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row>
    <row r="783" spans="1:26" ht="12.75" customHeight="1">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row>
    <row r="784" spans="1:26" ht="12.75" customHeight="1">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row>
    <row r="785" spans="1:26" ht="12.75" customHeight="1">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row>
    <row r="786" spans="1:26" ht="12.75" customHeight="1">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row>
    <row r="787" spans="1:26" ht="12.75" customHeight="1">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row>
    <row r="788" spans="1:26" ht="12.75" customHeight="1">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row>
    <row r="789" spans="1:26" ht="12.75" customHeight="1">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row>
    <row r="790" spans="1:26" ht="12.75" customHeight="1">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row>
    <row r="791" spans="1:26" ht="12.75" customHeight="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row>
    <row r="792" spans="1:26" ht="12.75" customHeight="1">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row>
    <row r="793" spans="1:26" ht="12.75" customHeight="1">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row>
    <row r="794" spans="1:26" ht="12.75" customHeight="1">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row>
    <row r="795" spans="1:26" ht="12.75" customHeight="1">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row>
    <row r="796" spans="1:26" ht="12.75" customHeight="1">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row>
    <row r="797" spans="1:26" ht="12.75" customHeight="1">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row>
    <row r="798" spans="1:26" ht="12.75" customHeight="1">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row>
    <row r="799" spans="1:26" ht="12.75" customHeight="1">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row>
    <row r="800" spans="1:26" ht="12.75" customHeight="1">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row>
    <row r="801" spans="1:26" ht="12.75" customHeight="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row>
    <row r="802" spans="1:26" ht="12.75" customHeight="1">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row>
    <row r="803" spans="1:26" ht="12.75" customHeight="1">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row>
    <row r="804" spans="1:26" ht="12.75" customHeight="1">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row>
    <row r="805" spans="1:26" ht="12.75" customHeight="1">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row>
    <row r="806" spans="1:26" ht="12.75" customHeight="1">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row>
    <row r="807" spans="1:26" ht="12.75" customHeight="1">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row>
    <row r="808" spans="1:26" ht="12.75" customHeight="1">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row>
    <row r="809" spans="1:26" ht="12.75" customHeight="1">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row>
    <row r="810" spans="1:26" ht="12.75" customHeight="1">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row>
    <row r="811" spans="1:26" ht="12.75" customHeight="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row>
    <row r="812" spans="1:26" ht="12.75" customHeight="1">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row>
    <row r="813" spans="1:26" ht="12.75" customHeight="1">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row>
    <row r="814" spans="1:26" ht="12.75" customHeight="1">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row>
    <row r="815" spans="1:26" ht="12.75" customHeight="1">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row>
    <row r="816" spans="1:26" ht="12.75" customHeight="1">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row>
    <row r="817" spans="1:26" ht="12.75" customHeight="1">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row>
    <row r="818" spans="1:26" ht="12.75" customHeight="1">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row>
    <row r="819" spans="1:26" ht="12.75" customHeight="1">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row>
    <row r="820" spans="1:26" ht="12.75" customHeight="1">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row>
    <row r="821" spans="1:26" ht="12.75" customHeight="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row>
    <row r="822" spans="1:26" ht="12.75" customHeight="1">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row>
    <row r="823" spans="1:26" ht="12.75" customHeight="1">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row>
    <row r="824" spans="1:26" ht="12.75" customHeight="1">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row>
    <row r="825" spans="1:26" ht="12.75" customHeight="1">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row>
    <row r="826" spans="1:26" ht="12.75" customHeight="1">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row>
    <row r="827" spans="1:26" ht="12.75" customHeight="1">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row>
    <row r="828" spans="1:26" ht="12.75" customHeight="1">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row>
    <row r="829" spans="1:26" ht="12.75" customHeight="1">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row>
    <row r="830" spans="1:26" ht="12.75" customHeight="1">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row>
    <row r="831" spans="1:26" ht="12.75" customHeight="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row>
    <row r="832" spans="1:26" ht="12.75" customHeight="1">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row>
    <row r="833" spans="1:26" ht="12.75" customHeight="1">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row>
    <row r="834" spans="1:26" ht="12.75" customHeight="1">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row>
    <row r="835" spans="1:26" ht="12.75" customHeight="1">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row>
    <row r="836" spans="1:26" ht="12.75" customHeight="1">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row>
    <row r="837" spans="1:26" ht="12.75" customHeight="1">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row>
    <row r="838" spans="1:26" ht="12.75" customHeight="1">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row>
    <row r="839" spans="1:26" ht="12.75" customHeight="1">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row>
    <row r="840" spans="1:26" ht="12.75" customHeight="1">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row>
    <row r="841" spans="1:26" ht="12.75" customHeight="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row>
    <row r="842" spans="1:26" ht="12.75" customHeight="1">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row>
    <row r="843" spans="1:26" ht="12.75" customHeight="1">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row>
    <row r="844" spans="1:26" ht="12.75" customHeight="1">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row>
    <row r="845" spans="1:26" ht="12.75" customHeight="1">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row>
    <row r="846" spans="1:26" ht="12.75" customHeight="1">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row>
    <row r="847" spans="1:26" ht="12.75" customHeight="1">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row>
    <row r="848" spans="1:26" ht="12.75" customHeight="1">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row>
    <row r="849" spans="1:26" ht="12.75" customHeight="1">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row>
    <row r="850" spans="1:26" ht="12.75" customHeight="1">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row>
    <row r="851" spans="1:26" ht="12.75" customHeight="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row>
    <row r="852" spans="1:26" ht="12.75" customHeight="1">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row>
    <row r="853" spans="1:26" ht="12.75" customHeight="1">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row>
    <row r="854" spans="1:26" ht="12.75" customHeight="1">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row>
    <row r="855" spans="1:26" ht="12.75" customHeight="1">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row>
    <row r="856" spans="1:26" ht="12.75" customHeight="1">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row>
    <row r="857" spans="1:26" ht="12.75" customHeight="1">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row>
    <row r="858" spans="1:26" ht="12.75" customHeight="1">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row>
    <row r="859" spans="1:26" ht="12.75" customHeight="1">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row>
    <row r="860" spans="1:26" ht="12.75" customHeight="1">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row>
    <row r="861" spans="1:26" ht="12.75" customHeight="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row>
    <row r="862" spans="1:26" ht="12.75" customHeight="1">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row>
    <row r="863" spans="1:26" ht="12.75" customHeight="1">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row>
    <row r="864" spans="1:26" ht="12.75" customHeight="1">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row>
    <row r="865" spans="1:26" ht="12.75" customHeight="1">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row>
    <row r="866" spans="1:26" ht="12.75" customHeight="1">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row>
    <row r="867" spans="1:26" ht="12.75" customHeight="1">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row>
    <row r="868" spans="1:26" ht="12.75" customHeight="1">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row>
    <row r="869" spans="1:26" ht="12.75" customHeight="1">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row>
    <row r="870" spans="1:26" ht="12.75" customHeight="1">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row>
    <row r="871" spans="1:26" ht="12.75" customHeight="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row>
    <row r="872" spans="1:26" ht="12.75" customHeight="1">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row>
    <row r="873" spans="1:26" ht="12.75" customHeight="1">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row>
    <row r="874" spans="1:26" ht="12.75" customHeight="1">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row>
    <row r="875" spans="1:26" ht="12.75" customHeight="1">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row>
    <row r="876" spans="1:26" ht="12.75" customHeight="1">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row>
    <row r="877" spans="1:26" ht="12.75" customHeight="1">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row>
    <row r="878" spans="1:26" ht="12.75" customHeight="1">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row>
    <row r="879" spans="1:26" ht="12.75" customHeight="1">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row>
    <row r="880" spans="1:26" ht="12.75" customHeight="1">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row>
    <row r="881" spans="1:26" ht="12.75" customHeight="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row>
    <row r="882" spans="1:26" ht="12.75" customHeight="1">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row>
    <row r="883" spans="1:26" ht="12.75" customHeight="1">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row>
    <row r="884" spans="1:26" ht="12.75" customHeight="1">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row>
    <row r="885" spans="1:26" ht="12.75" customHeight="1">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row>
    <row r="886" spans="1:26" ht="12.75" customHeight="1">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row>
    <row r="887" spans="1:26" ht="12.75" customHeight="1">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row>
    <row r="888" spans="1:26" ht="12.75" customHeight="1">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row>
    <row r="889" spans="1:26" ht="12.75" customHeight="1">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row>
    <row r="890" spans="1:26" ht="12.75" customHeight="1">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row>
    <row r="891" spans="1:26" ht="12.75" customHeight="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row>
    <row r="892" spans="1:26" ht="12.75" customHeight="1">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row>
    <row r="893" spans="1:26" ht="12.75" customHeight="1">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row>
    <row r="894" spans="1:26" ht="12.75" customHeight="1">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row>
    <row r="895" spans="1:26" ht="12.75" customHeight="1">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row>
    <row r="896" spans="1:26" ht="12.75" customHeight="1">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row>
    <row r="897" spans="1:26" ht="12.75" customHeight="1">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row>
    <row r="898" spans="1:26" ht="12.75" customHeight="1">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row>
    <row r="899" spans="1:26" ht="12.75" customHeight="1">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row>
    <row r="900" spans="1:26" ht="12.75" customHeight="1">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row>
    <row r="901" spans="1:26" ht="12.75" customHeight="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row>
    <row r="902" spans="1:26" ht="12.75" customHeight="1">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row>
    <row r="903" spans="1:26" ht="12.75" customHeight="1">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row>
    <row r="904" spans="1:26" ht="12.75" customHeight="1">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row>
    <row r="905" spans="1:26" ht="12.75" customHeight="1">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row>
    <row r="906" spans="1:26" ht="12.75" customHeight="1">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row>
    <row r="907" spans="1:26" ht="12.75" customHeight="1">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row>
    <row r="908" spans="1:26" ht="12.75" customHeight="1">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row>
    <row r="909" spans="1:26" ht="12.75" customHeight="1">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row>
    <row r="910" spans="1:26" ht="12.75" customHeight="1">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row>
    <row r="911" spans="1:26" ht="12.75" customHeight="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row>
    <row r="912" spans="1:26" ht="12.75" customHeight="1">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row>
    <row r="913" spans="1:26" ht="12.75" customHeight="1">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row>
    <row r="914" spans="1:26" ht="12.75" customHeight="1">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row>
    <row r="915" spans="1:26" ht="12.75" customHeight="1">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row>
    <row r="916" spans="1:26" ht="12.75" customHeight="1">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row>
    <row r="917" spans="1:26" ht="12.75" customHeight="1">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row>
    <row r="918" spans="1:26" ht="12.75" customHeight="1">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row>
    <row r="919" spans="1:26" ht="12.75" customHeight="1">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row>
    <row r="920" spans="1:26" ht="12.75" customHeight="1">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row>
    <row r="921" spans="1:26" ht="12.75" customHeight="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row>
    <row r="922" spans="1:26" ht="12.75" customHeight="1">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row>
    <row r="923" spans="1:26" ht="12.75" customHeight="1">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row>
    <row r="924" spans="1:26" ht="12.75" customHeight="1">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row>
    <row r="925" spans="1:26" ht="12.75" customHeight="1">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row>
    <row r="926" spans="1:26" ht="12.75" customHeight="1">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row>
    <row r="927" spans="1:26" ht="12.75" customHeight="1">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row>
    <row r="928" spans="1:26" ht="12.75" customHeight="1">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row>
    <row r="929" spans="1:26" ht="12.75" customHeight="1">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row>
    <row r="930" spans="1:26" ht="12.75" customHeight="1">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row>
    <row r="931" spans="1:26" ht="12.75" customHeight="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row>
    <row r="932" spans="1:26" ht="12.75" customHeight="1">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row>
    <row r="933" spans="1:26" ht="12.75" customHeight="1">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row>
    <row r="934" spans="1:26" ht="12.75" customHeight="1">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row>
    <row r="935" spans="1:26" ht="12.75" customHeight="1">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row>
    <row r="936" spans="1:26" ht="12.75" customHeight="1">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row>
    <row r="937" spans="1:26" ht="12.75" customHeight="1">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row>
    <row r="938" spans="1:26" ht="12.75" customHeight="1">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row>
    <row r="939" spans="1:26" ht="12.75" customHeight="1">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row>
    <row r="940" spans="1:26" ht="12.75" customHeight="1">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row>
    <row r="941" spans="1:26" ht="12.75" customHeight="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row>
    <row r="942" spans="1:26" ht="12.75" customHeight="1">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row>
    <row r="943" spans="1:26" ht="12.75" customHeight="1">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row>
    <row r="944" spans="1:26" ht="12.75" customHeight="1">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row>
    <row r="945" spans="1:26" ht="12.75" customHeight="1">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row>
    <row r="946" spans="1:26" ht="12.75" customHeight="1">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row>
    <row r="947" spans="1:26" ht="12.75" customHeight="1">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row>
    <row r="948" spans="1:26" ht="12.75" customHeight="1">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row>
    <row r="949" spans="1:26" ht="12.75" customHeight="1">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row>
    <row r="950" spans="1:26" ht="12.75" customHeight="1">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row>
    <row r="951" spans="1:26" ht="12.75" customHeight="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row>
    <row r="952" spans="1:26" ht="12.75" customHeight="1">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row>
    <row r="953" spans="1:26" ht="12.75" customHeight="1">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row>
    <row r="954" spans="1:26" ht="12.75" customHeight="1">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row>
    <row r="955" spans="1:26" ht="12.75" customHeight="1">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row>
    <row r="956" spans="1:26" ht="12.75" customHeight="1">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row>
    <row r="957" spans="1:26" ht="12.75" customHeight="1">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row>
    <row r="958" spans="1:26" ht="12.75" customHeight="1">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row>
    <row r="959" spans="1:26" ht="12.75" customHeight="1">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row>
    <row r="960" spans="1:26" ht="12.75" customHeight="1">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row>
    <row r="961" spans="1:26" ht="12.75" customHeight="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row>
    <row r="962" spans="1:26" ht="12.75" customHeight="1">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row>
    <row r="963" spans="1:26" ht="12.75" customHeight="1">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row>
    <row r="964" spans="1:26" ht="12.75" customHeight="1">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row>
    <row r="965" spans="1:26" ht="12.75" customHeight="1">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row>
    <row r="966" spans="1:26" ht="12.75" customHeight="1">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row>
    <row r="967" spans="1:26" ht="12.75" customHeight="1">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row>
    <row r="968" spans="1:26" ht="12.75" customHeight="1">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row>
    <row r="969" spans="1:26" ht="12.75" customHeight="1">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row>
    <row r="970" spans="1:26" ht="12.75" customHeight="1">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row>
    <row r="971" spans="1:26" ht="12.75" customHeight="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row>
    <row r="972" spans="1:26" ht="12.75" customHeight="1">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row>
    <row r="973" spans="1:26" ht="12.75" customHeight="1">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row>
    <row r="974" spans="1:26" ht="12.75" customHeight="1">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row>
    <row r="975" spans="1:26" ht="12.75" customHeight="1">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row>
    <row r="976" spans="1:26" ht="12.75" customHeight="1">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row>
    <row r="977" spans="1:26" ht="12.75" customHeight="1">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row>
    <row r="978" spans="1:26" ht="12.75" customHeight="1">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row>
    <row r="979" spans="1:26" ht="12.75" customHeight="1">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row>
    <row r="980" spans="1:26" ht="12.75" customHeight="1">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row>
    <row r="981" spans="1:26" ht="12.75" customHeight="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row>
    <row r="982" spans="1:26" ht="12.75" customHeight="1">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row>
    <row r="983" spans="1:26" ht="12.75" customHeight="1">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row>
    <row r="984" spans="1:26" ht="12.75" customHeight="1">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row>
    <row r="985" spans="1:26" ht="12.75" customHeight="1">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row>
    <row r="986" spans="1:26" ht="12.75" customHeight="1">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row>
    <row r="987" spans="1:26" ht="12.75" customHeight="1">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row>
    <row r="988" spans="1:26" ht="12.75" customHeight="1">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row>
    <row r="989" spans="1:26" ht="12.75" customHeight="1">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row>
    <row r="990" spans="1:26" ht="12.75" customHeight="1">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row>
    <row r="991" spans="1:26" ht="12.75" customHeight="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row>
    <row r="992" spans="1:26" ht="12.75" customHeight="1">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row>
    <row r="993" spans="1:26" ht="12.75" customHeight="1">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row>
    <row r="994" spans="1:26" ht="12.75" customHeight="1">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row>
    <row r="995" spans="1:26" ht="12.75" customHeight="1">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row>
    <row r="996" spans="1:26" ht="12.75" customHeight="1">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row>
    <row r="997" spans="1:26" ht="12.75" customHeight="1">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row>
    <row r="998" spans="1:26" ht="12.75" customHeight="1">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row>
    <row r="999" spans="1:26" ht="12.75" customHeight="1">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row>
  </sheetData>
  <mergeCells count="1">
    <mergeCell ref="B7:J7"/>
  </mergeCells>
  <pageMargins left="0.75" right="0.75" top="1" bottom="1"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03E00-B511-4328-AC8E-3D1D67014A6D}">
  <dimension ref="A6:V222"/>
  <sheetViews>
    <sheetView showGridLines="0" showRowColHeaders="0" zoomScaleNormal="100" workbookViewId="0">
      <selection activeCell="B20" sqref="B20"/>
    </sheetView>
  </sheetViews>
  <sheetFormatPr defaultColWidth="0" defaultRowHeight="15"/>
  <cols>
    <col min="1" max="1" width="4.7109375" customWidth="1"/>
    <col min="2" max="2" width="23.42578125" bestFit="1" customWidth="1"/>
    <col min="3" max="3" width="1.7109375" customWidth="1"/>
    <col min="4" max="4" width="72.28515625" customWidth="1"/>
    <col min="5" max="5" width="4.7109375" customWidth="1"/>
    <col min="6" max="7" width="8.85546875" hidden="1" customWidth="1"/>
    <col min="8" max="8" width="2.7109375" hidden="1" customWidth="1"/>
    <col min="9" max="9" width="22.85546875" hidden="1" customWidth="1"/>
    <col min="10" max="10" width="3" hidden="1" customWidth="1"/>
    <col min="11" max="16" width="8.85546875" hidden="1" customWidth="1"/>
    <col min="17" max="17" width="2.7109375" hidden="1" customWidth="1"/>
    <col min="18" max="18" width="8.85546875" hidden="1" customWidth="1"/>
    <col min="19" max="22" width="0" hidden="1" customWidth="1"/>
    <col min="23" max="16384" width="8.85546875" hidden="1"/>
  </cols>
  <sheetData>
    <row r="6" spans="2:21" s="65" customFormat="1" ht="18.75">
      <c r="B6" s="65" t="s">
        <v>88</v>
      </c>
    </row>
    <row r="7" spans="2:21" ht="3" customHeight="1">
      <c r="B7" s="67"/>
      <c r="C7" s="67"/>
      <c r="D7" s="67"/>
      <c r="E7" s="62"/>
      <c r="F7" s="62"/>
      <c r="G7" s="62"/>
      <c r="H7" s="62"/>
      <c r="I7" s="62"/>
      <c r="J7" s="62"/>
      <c r="K7" s="62"/>
      <c r="L7" s="62"/>
      <c r="M7" s="62"/>
      <c r="N7" s="62"/>
      <c r="O7" s="62"/>
      <c r="P7" s="62"/>
      <c r="Q7" s="62"/>
      <c r="R7" s="62"/>
      <c r="S7" s="62"/>
      <c r="T7" s="62"/>
      <c r="U7" s="62"/>
    </row>
    <row r="8" spans="2:21" ht="3" customHeight="1">
      <c r="B8" s="68"/>
      <c r="C8" s="68"/>
      <c r="D8" s="68"/>
      <c r="E8" s="62"/>
      <c r="F8" s="62"/>
      <c r="G8" s="62"/>
      <c r="H8" s="62"/>
      <c r="I8" s="62"/>
      <c r="J8" s="62"/>
      <c r="K8" s="62"/>
      <c r="L8" s="62"/>
      <c r="M8" s="62"/>
      <c r="N8" s="62"/>
      <c r="O8" s="62"/>
      <c r="P8" s="62"/>
      <c r="Q8" s="62"/>
      <c r="R8" s="62"/>
      <c r="S8" s="62"/>
      <c r="T8" s="62"/>
      <c r="U8" s="62"/>
    </row>
    <row r="9" spans="2:21" s="64" customFormat="1" ht="49.9" customHeight="1">
      <c r="B9" s="70" t="s">
        <v>83</v>
      </c>
      <c r="C9" s="63"/>
      <c r="D9" s="66" t="s">
        <v>110</v>
      </c>
      <c r="E9" s="63"/>
      <c r="F9" s="63"/>
      <c r="G9" s="63"/>
      <c r="H9" s="63"/>
      <c r="I9" s="63"/>
      <c r="J9" s="63"/>
      <c r="K9" s="63"/>
      <c r="L9" s="63"/>
      <c r="M9" s="63"/>
      <c r="N9" s="63"/>
      <c r="O9" s="63"/>
      <c r="P9" s="63"/>
      <c r="Q9" s="63"/>
      <c r="R9" s="63"/>
      <c r="S9" s="63"/>
      <c r="T9" s="63"/>
      <c r="U9" s="63"/>
    </row>
    <row r="10" spans="2:21" s="64" customFormat="1" ht="49.9" customHeight="1">
      <c r="B10" s="70" t="s">
        <v>84</v>
      </c>
      <c r="C10" s="63"/>
      <c r="D10" s="66" t="s">
        <v>100</v>
      </c>
      <c r="E10" s="63"/>
      <c r="F10" s="63"/>
      <c r="G10" s="63"/>
      <c r="H10" s="63"/>
      <c r="I10" s="63"/>
      <c r="J10" s="63"/>
      <c r="K10" s="63"/>
      <c r="L10" s="63"/>
      <c r="M10" s="63"/>
      <c r="N10" s="63"/>
      <c r="O10" s="63"/>
      <c r="P10" s="63"/>
      <c r="Q10" s="63"/>
      <c r="R10" s="63"/>
      <c r="S10" s="63"/>
      <c r="T10" s="63"/>
      <c r="U10" s="63"/>
    </row>
    <row r="11" spans="2:21" s="64" customFormat="1" ht="49.9" customHeight="1">
      <c r="B11" s="70" t="s">
        <v>85</v>
      </c>
      <c r="C11" s="63"/>
      <c r="D11" s="66" t="s">
        <v>101</v>
      </c>
      <c r="E11" s="63"/>
      <c r="F11" s="63"/>
      <c r="G11" s="63"/>
      <c r="H11" s="63"/>
      <c r="I11" s="63"/>
      <c r="J11" s="63"/>
      <c r="K11" s="63"/>
      <c r="L11" s="63"/>
      <c r="M11" s="63"/>
      <c r="N11" s="63"/>
      <c r="O11" s="63"/>
      <c r="P11" s="63"/>
      <c r="Q11" s="63"/>
      <c r="R11" s="63"/>
      <c r="S11" s="63"/>
      <c r="T11" s="63"/>
      <c r="U11" s="63"/>
    </row>
    <row r="12" spans="2:21" s="64" customFormat="1" ht="49.9" customHeight="1">
      <c r="B12" s="70" t="s">
        <v>86</v>
      </c>
      <c r="C12" s="63"/>
      <c r="D12" s="66" t="s">
        <v>102</v>
      </c>
      <c r="E12" s="63"/>
      <c r="F12" s="63"/>
      <c r="G12" s="63"/>
      <c r="H12" s="63"/>
      <c r="I12" s="63"/>
      <c r="J12" s="63"/>
      <c r="K12" s="63"/>
      <c r="L12" s="63"/>
      <c r="M12" s="63"/>
      <c r="N12" s="63"/>
      <c r="O12" s="63"/>
      <c r="P12" s="63"/>
      <c r="Q12" s="63"/>
      <c r="R12" s="63"/>
      <c r="S12" s="63"/>
      <c r="T12" s="63"/>
      <c r="U12" s="63"/>
    </row>
    <row r="13" spans="2:21" s="64" customFormat="1" ht="49.9" customHeight="1">
      <c r="B13" s="70" t="s">
        <v>87</v>
      </c>
      <c r="C13" s="63"/>
      <c r="D13" s="66" t="s">
        <v>102</v>
      </c>
      <c r="E13" s="63"/>
      <c r="F13" s="63"/>
      <c r="G13" s="63"/>
      <c r="H13" s="63"/>
      <c r="I13" s="63"/>
      <c r="J13" s="63"/>
      <c r="K13" s="63"/>
      <c r="L13" s="63"/>
      <c r="M13" s="63"/>
      <c r="N13" s="63"/>
      <c r="O13" s="63"/>
      <c r="P13" s="63"/>
      <c r="Q13" s="63"/>
      <c r="R13" s="63"/>
      <c r="S13" s="63"/>
      <c r="T13" s="63"/>
      <c r="U13" s="63"/>
    </row>
    <row r="14" spans="2:21" ht="3" customHeight="1">
      <c r="B14" s="67"/>
      <c r="C14" s="67"/>
      <c r="D14" s="67"/>
      <c r="E14" s="62"/>
      <c r="F14" s="62"/>
      <c r="G14" s="62"/>
      <c r="H14" s="62"/>
      <c r="I14" s="62"/>
      <c r="J14" s="62"/>
      <c r="K14" s="62"/>
      <c r="L14" s="62"/>
      <c r="M14" s="62"/>
      <c r="N14" s="62"/>
      <c r="O14" s="62"/>
      <c r="P14" s="62"/>
      <c r="Q14" s="62"/>
      <c r="R14" s="62"/>
      <c r="S14" s="62"/>
      <c r="T14" s="62"/>
      <c r="U14" s="62"/>
    </row>
    <row r="15" spans="2:21" ht="3" customHeight="1">
      <c r="B15" s="68"/>
      <c r="C15" s="68"/>
      <c r="D15" s="68"/>
      <c r="E15" s="62"/>
      <c r="F15" s="62"/>
      <c r="G15" s="62"/>
      <c r="H15" s="62"/>
      <c r="I15" s="62"/>
      <c r="J15" s="62"/>
      <c r="K15" s="62"/>
      <c r="L15" s="62"/>
      <c r="M15" s="62"/>
      <c r="N15" s="62"/>
      <c r="O15" s="62"/>
      <c r="P15" s="62"/>
      <c r="Q15" s="62"/>
      <c r="R15" s="62"/>
      <c r="S15" s="62"/>
      <c r="T15" s="62"/>
      <c r="U15" s="62"/>
    </row>
    <row r="16" spans="2:21">
      <c r="B16" s="62"/>
      <c r="C16" s="62"/>
      <c r="D16" s="62"/>
      <c r="E16" s="62"/>
      <c r="F16" s="62"/>
      <c r="G16" s="62"/>
      <c r="H16" s="62"/>
      <c r="I16" s="62"/>
      <c r="J16" s="62"/>
      <c r="K16" s="62"/>
      <c r="L16" s="62"/>
      <c r="M16" s="62"/>
      <c r="N16" s="62"/>
      <c r="O16" s="62"/>
      <c r="P16" s="62"/>
      <c r="Q16" s="62"/>
      <c r="R16" s="62"/>
      <c r="S16" s="62"/>
      <c r="T16" s="62"/>
      <c r="U16" s="62"/>
    </row>
    <row r="17" spans="2:21" ht="18.75">
      <c r="B17" s="65" t="s">
        <v>107</v>
      </c>
      <c r="C17" s="62"/>
      <c r="D17" s="62"/>
      <c r="E17" s="62"/>
      <c r="F17" s="62"/>
      <c r="G17" s="62"/>
      <c r="H17" s="62"/>
      <c r="I17" s="62"/>
      <c r="J17" s="62"/>
      <c r="K17" s="62"/>
      <c r="L17" s="62"/>
      <c r="M17" s="62"/>
      <c r="N17" s="62"/>
      <c r="O17" s="62"/>
      <c r="P17" s="62"/>
      <c r="Q17" s="62"/>
      <c r="R17" s="62"/>
      <c r="S17" s="62"/>
      <c r="T17" s="62"/>
      <c r="U17" s="62"/>
    </row>
    <row r="18" spans="2:21" ht="3" customHeight="1">
      <c r="B18" s="67"/>
      <c r="C18" s="67"/>
      <c r="D18" s="67"/>
      <c r="E18" s="62"/>
      <c r="F18" s="62"/>
      <c r="G18" s="62"/>
      <c r="H18" s="62"/>
      <c r="I18" s="62"/>
      <c r="J18" s="62"/>
      <c r="K18" s="62"/>
      <c r="L18" s="62"/>
      <c r="M18" s="62"/>
      <c r="N18" s="62"/>
      <c r="O18" s="62"/>
      <c r="P18" s="62"/>
      <c r="Q18" s="62"/>
      <c r="R18" s="62"/>
      <c r="S18" s="62"/>
      <c r="T18" s="62"/>
      <c r="U18" s="62"/>
    </row>
    <row r="19" spans="2:21" ht="3" customHeight="1">
      <c r="B19" s="68"/>
      <c r="C19" s="68"/>
      <c r="D19" s="68"/>
      <c r="E19" s="62"/>
      <c r="F19" s="62"/>
      <c r="G19" s="62"/>
      <c r="H19" s="62"/>
      <c r="I19" s="62"/>
      <c r="J19" s="62"/>
      <c r="K19" s="62"/>
      <c r="L19" s="62"/>
      <c r="M19" s="62"/>
      <c r="N19" s="62"/>
      <c r="O19" s="62"/>
      <c r="P19" s="62"/>
      <c r="Q19" s="62"/>
      <c r="R19" s="62"/>
      <c r="S19" s="62"/>
      <c r="T19" s="62"/>
      <c r="U19" s="62"/>
    </row>
    <row r="20" spans="2:21" s="64" customFormat="1" ht="49.9" customHeight="1">
      <c r="B20" s="108" t="s">
        <v>112</v>
      </c>
      <c r="C20" s="63"/>
      <c r="D20" s="66" t="s">
        <v>103</v>
      </c>
      <c r="E20" s="63"/>
      <c r="F20" s="63"/>
      <c r="G20" s="63"/>
      <c r="H20" s="63"/>
      <c r="I20" s="63"/>
      <c r="J20" s="63"/>
      <c r="K20" s="63"/>
      <c r="L20" s="63"/>
      <c r="M20" s="63"/>
      <c r="N20" s="63"/>
      <c r="O20" s="63"/>
      <c r="P20" s="63"/>
      <c r="Q20" s="63"/>
      <c r="R20" s="63"/>
      <c r="S20" s="63"/>
      <c r="T20" s="63"/>
      <c r="U20" s="63"/>
    </row>
    <row r="21" spans="2:21" s="64" customFormat="1" ht="49.9" customHeight="1">
      <c r="B21" s="69" t="s">
        <v>104</v>
      </c>
      <c r="C21" s="63"/>
      <c r="D21" s="63"/>
      <c r="E21" s="63"/>
      <c r="F21" s="63"/>
      <c r="G21" s="63"/>
      <c r="H21" s="63"/>
      <c r="I21" s="63"/>
      <c r="J21" s="63"/>
      <c r="K21" s="63"/>
      <c r="L21" s="63"/>
      <c r="M21" s="63"/>
      <c r="N21" s="63"/>
      <c r="O21" s="63"/>
      <c r="P21" s="63"/>
      <c r="Q21" s="63"/>
      <c r="R21" s="63"/>
      <c r="S21" s="63"/>
      <c r="T21" s="63"/>
      <c r="U21" s="63"/>
    </row>
    <row r="22" spans="2:21" s="64" customFormat="1" ht="49.9" customHeight="1">
      <c r="B22" s="63"/>
      <c r="C22" s="63"/>
      <c r="D22" s="63"/>
      <c r="E22" s="63"/>
      <c r="F22" s="63"/>
      <c r="G22" s="63"/>
      <c r="H22" s="63"/>
      <c r="I22" s="63"/>
      <c r="J22" s="63"/>
      <c r="K22" s="63"/>
      <c r="L22" s="63"/>
      <c r="M22" s="63"/>
      <c r="N22" s="63"/>
      <c r="O22" s="63"/>
      <c r="P22" s="63"/>
      <c r="Q22" s="63"/>
      <c r="R22" s="63"/>
      <c r="S22" s="63"/>
      <c r="T22" s="63"/>
      <c r="U22" s="63"/>
    </row>
    <row r="23" spans="2:21" s="64" customFormat="1" ht="49.9" customHeight="1">
      <c r="B23" s="63"/>
      <c r="C23" s="63"/>
      <c r="D23" s="63"/>
      <c r="E23" s="63"/>
      <c r="F23" s="63"/>
      <c r="G23" s="63"/>
      <c r="H23" s="63"/>
      <c r="I23" s="63"/>
      <c r="J23" s="63"/>
      <c r="K23" s="63"/>
      <c r="L23" s="63"/>
      <c r="M23" s="63"/>
      <c r="N23" s="63"/>
      <c r="O23" s="63"/>
      <c r="P23" s="63"/>
      <c r="Q23" s="63"/>
      <c r="R23" s="63"/>
      <c r="S23" s="63"/>
      <c r="T23" s="63"/>
      <c r="U23" s="63"/>
    </row>
    <row r="24" spans="2:21" s="64" customFormat="1" ht="49.9" customHeight="1">
      <c r="B24" s="63"/>
      <c r="C24" s="63"/>
      <c r="D24" s="63"/>
      <c r="E24" s="63"/>
      <c r="F24" s="63"/>
      <c r="G24" s="63"/>
      <c r="H24" s="63"/>
      <c r="I24" s="63"/>
      <c r="J24" s="63"/>
      <c r="K24" s="63"/>
      <c r="L24" s="63"/>
      <c r="M24" s="63"/>
      <c r="N24" s="63"/>
      <c r="O24" s="63"/>
      <c r="P24" s="63"/>
      <c r="Q24" s="63"/>
      <c r="R24" s="63"/>
      <c r="S24" s="63"/>
      <c r="T24" s="63"/>
      <c r="U24" s="63"/>
    </row>
    <row r="25" spans="2:21" s="64" customFormat="1">
      <c r="B25" s="63"/>
      <c r="C25" s="63"/>
      <c r="D25" s="63"/>
      <c r="E25" s="63"/>
      <c r="F25" s="63"/>
      <c r="G25" s="63"/>
      <c r="H25" s="63"/>
      <c r="I25" s="63"/>
      <c r="J25" s="63"/>
      <c r="K25" s="63"/>
      <c r="L25" s="63"/>
      <c r="M25" s="63"/>
      <c r="N25" s="63"/>
      <c r="O25" s="63"/>
      <c r="P25" s="63"/>
      <c r="Q25" s="63"/>
      <c r="R25" s="63"/>
      <c r="S25" s="63"/>
      <c r="T25" s="63"/>
      <c r="U25" s="63"/>
    </row>
    <row r="26" spans="2:21" s="64" customFormat="1">
      <c r="B26" s="63"/>
      <c r="C26" s="63"/>
      <c r="D26" s="63"/>
      <c r="E26" s="63"/>
      <c r="F26" s="63"/>
      <c r="G26" s="63"/>
      <c r="H26" s="63"/>
      <c r="I26" s="63"/>
      <c r="J26" s="63"/>
      <c r="K26" s="63"/>
      <c r="L26" s="63"/>
      <c r="M26" s="63"/>
      <c r="N26" s="63"/>
      <c r="O26" s="63"/>
      <c r="P26" s="63"/>
      <c r="Q26" s="63"/>
      <c r="R26" s="63"/>
      <c r="S26" s="63"/>
      <c r="T26" s="63"/>
      <c r="U26" s="63"/>
    </row>
    <row r="27" spans="2:21">
      <c r="B27" s="62"/>
      <c r="C27" s="62"/>
      <c r="D27" s="62"/>
      <c r="E27" s="62"/>
      <c r="F27" s="62"/>
      <c r="G27" s="62"/>
      <c r="H27" s="62"/>
      <c r="I27" s="62"/>
      <c r="J27" s="62"/>
      <c r="K27" s="62"/>
      <c r="L27" s="62"/>
      <c r="M27" s="62"/>
      <c r="N27" s="62"/>
      <c r="O27" s="62"/>
      <c r="P27" s="62"/>
      <c r="Q27" s="62"/>
      <c r="R27" s="62"/>
      <c r="S27" s="62"/>
      <c r="T27" s="62"/>
      <c r="U27" s="62"/>
    </row>
    <row r="28" spans="2:21">
      <c r="B28" s="62"/>
      <c r="C28" s="62"/>
      <c r="D28" s="62"/>
      <c r="E28" s="62"/>
      <c r="F28" s="62"/>
      <c r="G28" s="62"/>
      <c r="H28" s="62"/>
      <c r="I28" s="62"/>
      <c r="J28" s="62"/>
      <c r="K28" s="62"/>
      <c r="L28" s="62"/>
      <c r="M28" s="62"/>
      <c r="N28" s="62"/>
      <c r="O28" s="62"/>
      <c r="P28" s="62"/>
      <c r="Q28" s="62"/>
      <c r="R28" s="62"/>
      <c r="S28" s="62"/>
      <c r="T28" s="62"/>
      <c r="U28" s="62"/>
    </row>
    <row r="29" spans="2:21">
      <c r="B29" s="62"/>
      <c r="C29" s="62"/>
      <c r="D29" s="62"/>
      <c r="E29" s="62"/>
      <c r="F29" s="62"/>
      <c r="G29" s="62"/>
      <c r="H29" s="62"/>
      <c r="I29" s="62"/>
      <c r="J29" s="62"/>
      <c r="K29" s="62"/>
      <c r="L29" s="62"/>
      <c r="M29" s="62"/>
      <c r="N29" s="62"/>
      <c r="O29" s="62"/>
      <c r="P29" s="62"/>
      <c r="Q29" s="62"/>
      <c r="R29" s="62"/>
      <c r="S29" s="62"/>
      <c r="T29" s="62"/>
      <c r="U29" s="62"/>
    </row>
    <row r="30" spans="2:21">
      <c r="B30" s="62"/>
      <c r="C30" s="62"/>
      <c r="D30" s="62"/>
      <c r="E30" s="62"/>
      <c r="F30" s="62"/>
      <c r="G30" s="62"/>
      <c r="H30" s="62"/>
      <c r="I30" s="62"/>
      <c r="J30" s="62"/>
      <c r="K30" s="62"/>
      <c r="L30" s="62"/>
      <c r="M30" s="62"/>
      <c r="N30" s="62"/>
      <c r="O30" s="62"/>
      <c r="P30" s="62"/>
      <c r="Q30" s="62"/>
      <c r="R30" s="62"/>
      <c r="S30" s="62"/>
      <c r="T30" s="62"/>
      <c r="U30" s="62"/>
    </row>
    <row r="31" spans="2:21">
      <c r="B31" s="62"/>
      <c r="C31" s="62"/>
      <c r="D31" s="62"/>
      <c r="E31" s="62"/>
      <c r="F31" s="62"/>
      <c r="G31" s="62"/>
      <c r="H31" s="62"/>
      <c r="I31" s="62"/>
      <c r="J31" s="62"/>
      <c r="K31" s="62"/>
      <c r="L31" s="62"/>
      <c r="M31" s="62"/>
      <c r="N31" s="62"/>
      <c r="O31" s="62"/>
      <c r="P31" s="62"/>
      <c r="Q31" s="62"/>
      <c r="R31" s="62"/>
      <c r="S31" s="62"/>
      <c r="T31" s="62"/>
      <c r="U31" s="62"/>
    </row>
    <row r="32" spans="2:21">
      <c r="B32" s="62"/>
      <c r="C32" s="62"/>
      <c r="D32" s="62"/>
      <c r="E32" s="62"/>
      <c r="F32" s="62"/>
      <c r="G32" s="62"/>
      <c r="H32" s="62"/>
      <c r="I32" s="62"/>
      <c r="J32" s="62"/>
      <c r="K32" s="62"/>
      <c r="L32" s="62"/>
      <c r="M32" s="62"/>
      <c r="N32" s="62"/>
      <c r="O32" s="62"/>
      <c r="P32" s="62"/>
      <c r="Q32" s="62"/>
      <c r="R32" s="62"/>
      <c r="S32" s="62"/>
      <c r="T32" s="62"/>
      <c r="U32" s="62"/>
    </row>
    <row r="33" spans="2:21">
      <c r="B33" s="62"/>
      <c r="C33" s="62"/>
      <c r="D33" s="62"/>
      <c r="E33" s="62"/>
      <c r="F33" s="62"/>
      <c r="G33" s="62"/>
      <c r="H33" s="62"/>
      <c r="I33" s="62"/>
      <c r="J33" s="62"/>
      <c r="K33" s="62"/>
      <c r="L33" s="62"/>
      <c r="M33" s="62"/>
      <c r="N33" s="62"/>
      <c r="O33" s="62"/>
      <c r="P33" s="62"/>
      <c r="Q33" s="62"/>
      <c r="R33" s="62"/>
      <c r="S33" s="62"/>
      <c r="T33" s="62"/>
      <c r="U33" s="62"/>
    </row>
    <row r="34" spans="2:21">
      <c r="B34" s="62"/>
      <c r="C34" s="62"/>
      <c r="D34" s="62"/>
      <c r="E34" s="62"/>
      <c r="F34" s="62"/>
      <c r="G34" s="62"/>
      <c r="H34" s="62"/>
      <c r="I34" s="62"/>
      <c r="J34" s="62"/>
      <c r="K34" s="62"/>
      <c r="L34" s="62"/>
      <c r="M34" s="62"/>
      <c r="N34" s="62"/>
      <c r="O34" s="62"/>
      <c r="P34" s="62"/>
      <c r="Q34" s="62"/>
      <c r="R34" s="62"/>
      <c r="S34" s="62"/>
      <c r="T34" s="62"/>
      <c r="U34" s="62"/>
    </row>
    <row r="35" spans="2:21">
      <c r="B35" s="62"/>
      <c r="C35" s="62"/>
      <c r="D35" s="62"/>
      <c r="E35" s="62"/>
      <c r="F35" s="62"/>
      <c r="G35" s="62"/>
      <c r="H35" s="62"/>
      <c r="I35" s="62"/>
      <c r="J35" s="62"/>
      <c r="K35" s="62"/>
      <c r="L35" s="62"/>
      <c r="M35" s="62"/>
      <c r="N35" s="62"/>
      <c r="O35" s="62"/>
      <c r="P35" s="62"/>
      <c r="Q35" s="62"/>
      <c r="R35" s="62"/>
      <c r="S35" s="62"/>
      <c r="T35" s="62"/>
      <c r="U35" s="62"/>
    </row>
    <row r="36" spans="2:21">
      <c r="B36" s="62"/>
      <c r="C36" s="62"/>
      <c r="D36" s="62"/>
      <c r="E36" s="62"/>
      <c r="F36" s="62"/>
      <c r="G36" s="62"/>
      <c r="H36" s="62"/>
      <c r="I36" s="62"/>
      <c r="J36" s="62"/>
      <c r="K36" s="62"/>
      <c r="L36" s="62"/>
      <c r="M36" s="62"/>
      <c r="N36" s="62"/>
      <c r="O36" s="62"/>
      <c r="P36" s="62"/>
      <c r="Q36" s="62"/>
      <c r="R36" s="62"/>
      <c r="S36" s="62"/>
      <c r="T36" s="62"/>
      <c r="U36" s="62"/>
    </row>
    <row r="37" spans="2:21">
      <c r="B37" s="62"/>
      <c r="C37" s="62"/>
      <c r="D37" s="62"/>
      <c r="E37" s="62"/>
      <c r="F37" s="62"/>
      <c r="G37" s="62"/>
      <c r="H37" s="62"/>
      <c r="I37" s="62"/>
      <c r="J37" s="62"/>
      <c r="K37" s="62"/>
      <c r="L37" s="62"/>
      <c r="M37" s="62"/>
      <c r="N37" s="62"/>
      <c r="O37" s="62"/>
      <c r="P37" s="62"/>
      <c r="Q37" s="62"/>
      <c r="R37" s="62"/>
      <c r="S37" s="62"/>
      <c r="T37" s="62"/>
      <c r="U37" s="62"/>
    </row>
    <row r="38" spans="2:21">
      <c r="B38" s="62"/>
      <c r="C38" s="62"/>
      <c r="D38" s="62"/>
      <c r="E38" s="62"/>
      <c r="F38" s="62"/>
      <c r="G38" s="62"/>
      <c r="H38" s="62"/>
      <c r="I38" s="62"/>
      <c r="J38" s="62"/>
      <c r="K38" s="62"/>
      <c r="L38" s="62"/>
      <c r="M38" s="62"/>
      <c r="N38" s="62"/>
      <c r="O38" s="62"/>
      <c r="P38" s="62"/>
      <c r="Q38" s="62"/>
      <c r="R38" s="62"/>
      <c r="S38" s="62"/>
      <c r="T38" s="62"/>
      <c r="U38" s="62"/>
    </row>
    <row r="39" spans="2:21">
      <c r="B39" s="62"/>
      <c r="C39" s="62"/>
      <c r="D39" s="62"/>
      <c r="E39" s="62"/>
      <c r="F39" s="62"/>
      <c r="G39" s="62"/>
      <c r="H39" s="62"/>
      <c r="I39" s="62"/>
      <c r="J39" s="62"/>
      <c r="K39" s="62"/>
      <c r="L39" s="62"/>
      <c r="M39" s="62"/>
      <c r="N39" s="62"/>
      <c r="O39" s="62"/>
      <c r="P39" s="62"/>
      <c r="Q39" s="62"/>
      <c r="R39" s="62"/>
      <c r="S39" s="62"/>
      <c r="T39" s="62"/>
      <c r="U39" s="62"/>
    </row>
    <row r="40" spans="2:21">
      <c r="B40" s="62"/>
      <c r="C40" s="62"/>
      <c r="D40" s="62"/>
      <c r="E40" s="62"/>
      <c r="F40" s="62"/>
      <c r="G40" s="62"/>
      <c r="H40" s="62"/>
      <c r="I40" s="62"/>
      <c r="J40" s="62"/>
      <c r="K40" s="62"/>
      <c r="L40" s="62"/>
      <c r="M40" s="62"/>
      <c r="N40" s="62"/>
      <c r="O40" s="62"/>
      <c r="P40" s="62"/>
      <c r="Q40" s="62"/>
      <c r="R40" s="62"/>
      <c r="S40" s="62"/>
      <c r="T40" s="62"/>
      <c r="U40" s="62"/>
    </row>
    <row r="41" spans="2:21">
      <c r="B41" s="62"/>
      <c r="C41" s="62"/>
      <c r="D41" s="62"/>
      <c r="E41" s="62"/>
      <c r="F41" s="62"/>
      <c r="G41" s="62"/>
      <c r="H41" s="62"/>
      <c r="I41" s="62"/>
      <c r="J41" s="62"/>
      <c r="K41" s="62"/>
      <c r="L41" s="62"/>
      <c r="M41" s="62"/>
      <c r="N41" s="62"/>
      <c r="O41" s="62"/>
      <c r="P41" s="62"/>
      <c r="Q41" s="62"/>
      <c r="R41" s="62"/>
      <c r="S41" s="62"/>
      <c r="T41" s="62"/>
      <c r="U41" s="62"/>
    </row>
    <row r="42" spans="2:21">
      <c r="B42" s="62"/>
      <c r="C42" s="62"/>
      <c r="D42" s="62"/>
      <c r="E42" s="62"/>
      <c r="F42" s="62"/>
      <c r="G42" s="62"/>
      <c r="H42" s="62"/>
      <c r="I42" s="62"/>
      <c r="J42" s="62"/>
      <c r="K42" s="62"/>
      <c r="L42" s="62"/>
      <c r="M42" s="62"/>
      <c r="N42" s="62"/>
      <c r="O42" s="62"/>
      <c r="P42" s="62"/>
      <c r="Q42" s="62"/>
      <c r="R42" s="62"/>
      <c r="S42" s="62"/>
      <c r="T42" s="62"/>
      <c r="U42" s="62"/>
    </row>
    <row r="43" spans="2:21">
      <c r="B43" s="62"/>
      <c r="C43" s="62"/>
      <c r="D43" s="62"/>
      <c r="E43" s="62"/>
      <c r="F43" s="62"/>
      <c r="G43" s="62"/>
      <c r="H43" s="62"/>
      <c r="I43" s="62"/>
      <c r="J43" s="62"/>
      <c r="K43" s="62"/>
      <c r="L43" s="62"/>
      <c r="M43" s="62"/>
      <c r="N43" s="62"/>
      <c r="O43" s="62"/>
      <c r="P43" s="62"/>
      <c r="Q43" s="62"/>
      <c r="R43" s="62"/>
      <c r="S43" s="62"/>
      <c r="T43" s="62"/>
      <c r="U43" s="62"/>
    </row>
    <row r="44" spans="2:21">
      <c r="B44" s="62"/>
      <c r="C44" s="62"/>
      <c r="D44" s="62"/>
      <c r="E44" s="62"/>
      <c r="F44" s="62"/>
      <c r="G44" s="62"/>
      <c r="H44" s="62"/>
      <c r="I44" s="62"/>
      <c r="J44" s="62"/>
      <c r="K44" s="62"/>
      <c r="L44" s="62"/>
      <c r="M44" s="62"/>
      <c r="N44" s="62"/>
      <c r="O44" s="62"/>
      <c r="P44" s="62"/>
      <c r="Q44" s="62"/>
      <c r="R44" s="62"/>
      <c r="S44" s="62"/>
      <c r="T44" s="62"/>
      <c r="U44" s="62"/>
    </row>
    <row r="45" spans="2:21">
      <c r="B45" s="62"/>
      <c r="C45" s="62"/>
      <c r="D45" s="62"/>
      <c r="E45" s="62"/>
      <c r="F45" s="62"/>
      <c r="G45" s="62"/>
      <c r="H45" s="62"/>
      <c r="I45" s="62"/>
      <c r="J45" s="62"/>
      <c r="K45" s="62"/>
      <c r="L45" s="62"/>
      <c r="M45" s="62"/>
      <c r="N45" s="62"/>
      <c r="O45" s="62"/>
      <c r="P45" s="62"/>
      <c r="Q45" s="62"/>
      <c r="R45" s="62"/>
      <c r="S45" s="62"/>
      <c r="T45" s="62"/>
      <c r="U45" s="62"/>
    </row>
    <row r="46" spans="2:21">
      <c r="B46" s="62"/>
      <c r="C46" s="62"/>
      <c r="D46" s="62"/>
      <c r="E46" s="62"/>
      <c r="F46" s="62"/>
      <c r="G46" s="62"/>
      <c r="H46" s="62"/>
      <c r="I46" s="62"/>
      <c r="J46" s="62"/>
      <c r="K46" s="62"/>
      <c r="L46" s="62"/>
      <c r="M46" s="62"/>
      <c r="N46" s="62"/>
      <c r="O46" s="62"/>
      <c r="P46" s="62"/>
      <c r="Q46" s="62"/>
      <c r="R46" s="62"/>
      <c r="S46" s="62"/>
      <c r="T46" s="62"/>
      <c r="U46" s="62"/>
    </row>
    <row r="47" spans="2:21">
      <c r="B47" s="62"/>
      <c r="C47" s="62"/>
      <c r="D47" s="62"/>
      <c r="E47" s="62"/>
      <c r="F47" s="62"/>
      <c r="G47" s="62"/>
      <c r="H47" s="62"/>
      <c r="I47" s="62"/>
      <c r="J47" s="62"/>
      <c r="K47" s="62"/>
      <c r="L47" s="62"/>
      <c r="M47" s="62"/>
      <c r="N47" s="62"/>
      <c r="O47" s="62"/>
      <c r="P47" s="62"/>
      <c r="Q47" s="62"/>
      <c r="R47" s="62"/>
      <c r="S47" s="62"/>
      <c r="T47" s="62"/>
      <c r="U47" s="62"/>
    </row>
    <row r="48" spans="2:21">
      <c r="B48" s="62"/>
      <c r="C48" s="62"/>
      <c r="D48" s="62"/>
      <c r="E48" s="62"/>
      <c r="F48" s="62"/>
      <c r="G48" s="62"/>
      <c r="H48" s="62"/>
      <c r="I48" s="62"/>
      <c r="J48" s="62"/>
      <c r="K48" s="62"/>
      <c r="L48" s="62"/>
      <c r="M48" s="62"/>
      <c r="N48" s="62"/>
      <c r="O48" s="62"/>
      <c r="P48" s="62"/>
      <c r="Q48" s="62"/>
      <c r="R48" s="62"/>
      <c r="S48" s="62"/>
      <c r="T48" s="62"/>
      <c r="U48" s="62"/>
    </row>
    <row r="49" spans="2:21">
      <c r="B49" s="62"/>
      <c r="C49" s="62"/>
      <c r="D49" s="62"/>
      <c r="E49" s="62"/>
      <c r="F49" s="62"/>
      <c r="G49" s="62"/>
      <c r="H49" s="62"/>
      <c r="I49" s="62"/>
      <c r="J49" s="62"/>
      <c r="K49" s="62"/>
      <c r="L49" s="62"/>
      <c r="M49" s="62"/>
      <c r="N49" s="62"/>
      <c r="O49" s="62"/>
      <c r="P49" s="62"/>
      <c r="Q49" s="62"/>
      <c r="R49" s="62"/>
      <c r="S49" s="62"/>
      <c r="T49" s="62"/>
      <c r="U49" s="62"/>
    </row>
    <row r="50" spans="2:21">
      <c r="B50" s="62"/>
      <c r="C50" s="62"/>
      <c r="D50" s="62"/>
      <c r="E50" s="62"/>
      <c r="F50" s="62"/>
      <c r="G50" s="62"/>
      <c r="H50" s="62"/>
      <c r="I50" s="62"/>
      <c r="J50" s="62"/>
      <c r="K50" s="62"/>
      <c r="L50" s="62"/>
      <c r="M50" s="62"/>
      <c r="N50" s="62"/>
      <c r="O50" s="62"/>
      <c r="P50" s="62"/>
      <c r="Q50" s="62"/>
      <c r="R50" s="62"/>
      <c r="S50" s="62"/>
      <c r="T50" s="62"/>
      <c r="U50" s="62"/>
    </row>
    <row r="51" spans="2:21">
      <c r="B51" s="62"/>
      <c r="C51" s="62"/>
      <c r="D51" s="62"/>
      <c r="E51" s="62"/>
      <c r="F51" s="62"/>
      <c r="G51" s="62"/>
      <c r="H51" s="62"/>
      <c r="I51" s="62"/>
      <c r="J51" s="62"/>
      <c r="K51" s="62"/>
      <c r="L51" s="62"/>
      <c r="M51" s="62"/>
      <c r="N51" s="62"/>
      <c r="O51" s="62"/>
      <c r="P51" s="62"/>
      <c r="Q51" s="62"/>
      <c r="R51" s="62"/>
      <c r="S51" s="62"/>
      <c r="T51" s="62"/>
      <c r="U51" s="62"/>
    </row>
    <row r="52" spans="2:21">
      <c r="B52" s="62"/>
      <c r="C52" s="62"/>
      <c r="D52" s="62"/>
      <c r="E52" s="62"/>
      <c r="F52" s="62"/>
      <c r="G52" s="62"/>
      <c r="H52" s="62"/>
      <c r="I52" s="62"/>
      <c r="J52" s="62"/>
      <c r="K52" s="62"/>
      <c r="L52" s="62"/>
      <c r="M52" s="62"/>
      <c r="N52" s="62"/>
      <c r="O52" s="62"/>
      <c r="P52" s="62"/>
      <c r="Q52" s="62"/>
      <c r="R52" s="62"/>
      <c r="S52" s="62"/>
      <c r="T52" s="62"/>
      <c r="U52" s="62"/>
    </row>
    <row r="53" spans="2:21">
      <c r="B53" s="62"/>
      <c r="C53" s="62"/>
      <c r="D53" s="62"/>
      <c r="E53" s="62"/>
      <c r="F53" s="62"/>
      <c r="G53" s="62"/>
      <c r="H53" s="62"/>
      <c r="I53" s="62"/>
      <c r="J53" s="62"/>
      <c r="K53" s="62"/>
      <c r="L53" s="62"/>
      <c r="M53" s="62"/>
      <c r="N53" s="62"/>
      <c r="O53" s="62"/>
      <c r="P53" s="62"/>
      <c r="Q53" s="62"/>
      <c r="R53" s="62"/>
      <c r="S53" s="62"/>
      <c r="T53" s="62"/>
      <c r="U53" s="62"/>
    </row>
    <row r="54" spans="2:21">
      <c r="B54" s="62"/>
      <c r="C54" s="62"/>
      <c r="D54" s="62"/>
      <c r="E54" s="62"/>
      <c r="F54" s="62"/>
      <c r="G54" s="62"/>
      <c r="H54" s="62"/>
      <c r="I54" s="62"/>
      <c r="J54" s="62"/>
      <c r="K54" s="62"/>
      <c r="L54" s="62"/>
      <c r="M54" s="62"/>
      <c r="N54" s="62"/>
      <c r="O54" s="62"/>
      <c r="P54" s="62"/>
      <c r="Q54" s="62"/>
      <c r="R54" s="62"/>
      <c r="S54" s="62"/>
      <c r="T54" s="62"/>
      <c r="U54" s="62"/>
    </row>
    <row r="55" spans="2:21">
      <c r="B55" s="62"/>
      <c r="C55" s="62"/>
      <c r="D55" s="62"/>
      <c r="E55" s="62"/>
      <c r="F55" s="62"/>
      <c r="G55" s="62"/>
      <c r="H55" s="62"/>
      <c r="I55" s="62"/>
      <c r="J55" s="62"/>
      <c r="K55" s="62"/>
      <c r="L55" s="62"/>
      <c r="M55" s="62"/>
      <c r="N55" s="62"/>
      <c r="O55" s="62"/>
      <c r="P55" s="62"/>
      <c r="Q55" s="62"/>
      <c r="R55" s="62"/>
      <c r="S55" s="62"/>
      <c r="T55" s="62"/>
      <c r="U55" s="62"/>
    </row>
    <row r="56" spans="2:21">
      <c r="B56" s="62"/>
      <c r="C56" s="62"/>
      <c r="D56" s="62"/>
      <c r="E56" s="62"/>
      <c r="F56" s="62"/>
      <c r="G56" s="62"/>
      <c r="H56" s="62"/>
      <c r="I56" s="62"/>
      <c r="J56" s="62"/>
      <c r="K56" s="62"/>
      <c r="L56" s="62"/>
      <c r="M56" s="62"/>
      <c r="N56" s="62"/>
      <c r="O56" s="62"/>
      <c r="P56" s="62"/>
      <c r="Q56" s="62"/>
      <c r="R56" s="62"/>
      <c r="S56" s="62"/>
      <c r="T56" s="62"/>
      <c r="U56" s="62"/>
    </row>
    <row r="57" spans="2:21">
      <c r="B57" s="62"/>
      <c r="C57" s="62"/>
      <c r="D57" s="62"/>
      <c r="E57" s="62"/>
      <c r="F57" s="62"/>
      <c r="G57" s="62"/>
      <c r="H57" s="62"/>
      <c r="I57" s="62"/>
      <c r="J57" s="62"/>
      <c r="K57" s="62"/>
      <c r="L57" s="62"/>
      <c r="M57" s="62"/>
      <c r="N57" s="62"/>
      <c r="O57" s="62"/>
      <c r="P57" s="62"/>
      <c r="Q57" s="62"/>
      <c r="R57" s="62"/>
      <c r="S57" s="62"/>
      <c r="T57" s="62"/>
      <c r="U57" s="62"/>
    </row>
    <row r="58" spans="2:21">
      <c r="B58" s="62"/>
      <c r="C58" s="62"/>
      <c r="D58" s="62"/>
      <c r="E58" s="62"/>
      <c r="F58" s="62"/>
      <c r="G58" s="62"/>
      <c r="H58" s="62"/>
      <c r="I58" s="62"/>
      <c r="J58" s="62"/>
      <c r="K58" s="62"/>
      <c r="L58" s="62"/>
      <c r="M58" s="62"/>
      <c r="N58" s="62"/>
      <c r="O58" s="62"/>
      <c r="P58" s="62"/>
      <c r="Q58" s="62"/>
      <c r="R58" s="62"/>
      <c r="S58" s="62"/>
      <c r="T58" s="62"/>
      <c r="U58" s="62"/>
    </row>
    <row r="59" spans="2:21">
      <c r="B59" s="62"/>
      <c r="C59" s="62"/>
      <c r="D59" s="62"/>
      <c r="E59" s="62"/>
      <c r="F59" s="62"/>
      <c r="G59" s="62"/>
      <c r="H59" s="62"/>
      <c r="I59" s="62"/>
      <c r="J59" s="62"/>
      <c r="K59" s="62"/>
      <c r="L59" s="62"/>
      <c r="M59" s="62"/>
      <c r="N59" s="62"/>
      <c r="O59" s="62"/>
      <c r="P59" s="62"/>
      <c r="Q59" s="62"/>
      <c r="R59" s="62"/>
      <c r="S59" s="62"/>
      <c r="T59" s="62"/>
      <c r="U59" s="62"/>
    </row>
    <row r="60" spans="2:21">
      <c r="B60" s="62"/>
      <c r="C60" s="62"/>
      <c r="D60" s="62"/>
      <c r="E60" s="62"/>
      <c r="F60" s="62"/>
      <c r="G60" s="62"/>
      <c r="H60" s="62"/>
      <c r="I60" s="62"/>
      <c r="J60" s="62"/>
      <c r="K60" s="62"/>
      <c r="L60" s="62"/>
      <c r="M60" s="62"/>
      <c r="N60" s="62"/>
      <c r="O60" s="62"/>
      <c r="P60" s="62"/>
      <c r="Q60" s="62"/>
      <c r="R60" s="62"/>
      <c r="S60" s="62"/>
      <c r="T60" s="62"/>
      <c r="U60" s="62"/>
    </row>
    <row r="61" spans="2:21">
      <c r="B61" s="62"/>
      <c r="C61" s="62"/>
      <c r="D61" s="62"/>
      <c r="E61" s="62"/>
      <c r="F61" s="62"/>
      <c r="G61" s="62"/>
      <c r="H61" s="62"/>
      <c r="I61" s="62"/>
      <c r="J61" s="62"/>
      <c r="K61" s="62"/>
      <c r="L61" s="62"/>
      <c r="M61" s="62"/>
      <c r="N61" s="62"/>
      <c r="O61" s="62"/>
      <c r="P61" s="62"/>
      <c r="Q61" s="62"/>
      <c r="R61" s="62"/>
      <c r="S61" s="62"/>
      <c r="T61" s="62"/>
      <c r="U61" s="62"/>
    </row>
    <row r="62" spans="2:21">
      <c r="B62" s="62"/>
      <c r="C62" s="62"/>
      <c r="D62" s="62"/>
      <c r="E62" s="62"/>
      <c r="F62" s="62"/>
      <c r="G62" s="62"/>
      <c r="H62" s="62"/>
      <c r="I62" s="62"/>
      <c r="J62" s="62"/>
      <c r="K62" s="62"/>
      <c r="L62" s="62"/>
      <c r="M62" s="62"/>
      <c r="N62" s="62"/>
      <c r="O62" s="62"/>
      <c r="P62" s="62"/>
      <c r="Q62" s="62"/>
      <c r="R62" s="62"/>
      <c r="S62" s="62"/>
      <c r="T62" s="62"/>
      <c r="U62" s="62"/>
    </row>
    <row r="63" spans="2:21">
      <c r="B63" s="62"/>
      <c r="C63" s="62"/>
      <c r="D63" s="62"/>
      <c r="E63" s="62"/>
      <c r="F63" s="62"/>
      <c r="G63" s="62"/>
      <c r="H63" s="62"/>
      <c r="I63" s="62"/>
      <c r="J63" s="62"/>
      <c r="K63" s="62"/>
      <c r="L63" s="62"/>
      <c r="M63" s="62"/>
      <c r="N63" s="62"/>
      <c r="O63" s="62"/>
      <c r="P63" s="62"/>
      <c r="Q63" s="62"/>
      <c r="R63" s="62"/>
      <c r="S63" s="62"/>
      <c r="T63" s="62"/>
      <c r="U63" s="62"/>
    </row>
    <row r="64" spans="2:21">
      <c r="B64" s="62"/>
      <c r="C64" s="62"/>
      <c r="D64" s="62"/>
      <c r="E64" s="62"/>
      <c r="F64" s="62"/>
      <c r="G64" s="62"/>
      <c r="H64" s="62"/>
      <c r="I64" s="62"/>
      <c r="J64" s="62"/>
      <c r="K64" s="62"/>
      <c r="L64" s="62"/>
      <c r="M64" s="62"/>
      <c r="N64" s="62"/>
      <c r="O64" s="62"/>
      <c r="P64" s="62"/>
      <c r="Q64" s="62"/>
      <c r="R64" s="62"/>
      <c r="S64" s="62"/>
      <c r="T64" s="62"/>
      <c r="U64" s="62"/>
    </row>
    <row r="65" spans="2:21">
      <c r="B65" s="62"/>
      <c r="C65" s="62"/>
      <c r="D65" s="62"/>
      <c r="E65" s="62"/>
      <c r="F65" s="62"/>
      <c r="G65" s="62"/>
      <c r="H65" s="62"/>
      <c r="I65" s="62"/>
      <c r="J65" s="62"/>
      <c r="K65" s="62"/>
      <c r="L65" s="62"/>
      <c r="M65" s="62"/>
      <c r="N65" s="62"/>
      <c r="O65" s="62"/>
      <c r="P65" s="62"/>
      <c r="Q65" s="62"/>
      <c r="R65" s="62"/>
      <c r="S65" s="62"/>
      <c r="T65" s="62"/>
      <c r="U65" s="62"/>
    </row>
    <row r="66" spans="2:21">
      <c r="B66" s="62"/>
      <c r="C66" s="62"/>
      <c r="D66" s="62"/>
      <c r="E66" s="62"/>
      <c r="F66" s="62"/>
      <c r="G66" s="62"/>
      <c r="H66" s="62"/>
      <c r="I66" s="62"/>
      <c r="J66" s="62"/>
      <c r="K66" s="62"/>
      <c r="L66" s="62"/>
      <c r="M66" s="62"/>
      <c r="N66" s="62"/>
      <c r="O66" s="62"/>
      <c r="P66" s="62"/>
      <c r="Q66" s="62"/>
      <c r="R66" s="62"/>
      <c r="S66" s="62"/>
      <c r="T66" s="62"/>
      <c r="U66" s="62"/>
    </row>
    <row r="67" spans="2:21">
      <c r="B67" s="62"/>
      <c r="C67" s="62"/>
      <c r="D67" s="62"/>
      <c r="E67" s="62"/>
      <c r="F67" s="62"/>
      <c r="G67" s="62"/>
      <c r="H67" s="62"/>
      <c r="I67" s="62"/>
      <c r="J67" s="62"/>
      <c r="K67" s="62"/>
      <c r="L67" s="62"/>
      <c r="M67" s="62"/>
      <c r="N67" s="62"/>
      <c r="O67" s="62"/>
      <c r="P67" s="62"/>
      <c r="Q67" s="62"/>
      <c r="R67" s="62"/>
      <c r="S67" s="62"/>
      <c r="T67" s="62"/>
      <c r="U67" s="62"/>
    </row>
    <row r="68" spans="2:21">
      <c r="B68" s="62"/>
      <c r="C68" s="62"/>
      <c r="D68" s="62"/>
      <c r="E68" s="62"/>
      <c r="F68" s="62"/>
      <c r="G68" s="62"/>
      <c r="H68" s="62"/>
      <c r="I68" s="62"/>
      <c r="J68" s="62"/>
      <c r="K68" s="62"/>
      <c r="L68" s="62"/>
      <c r="M68" s="62"/>
      <c r="N68" s="62"/>
      <c r="O68" s="62"/>
      <c r="P68" s="62"/>
      <c r="Q68" s="62"/>
      <c r="R68" s="62"/>
      <c r="S68" s="62"/>
      <c r="T68" s="62"/>
      <c r="U68" s="62"/>
    </row>
    <row r="69" spans="2:21">
      <c r="B69" s="62"/>
      <c r="C69" s="62"/>
      <c r="D69" s="62"/>
      <c r="E69" s="62"/>
      <c r="F69" s="62"/>
      <c r="G69" s="62"/>
      <c r="H69" s="62"/>
      <c r="I69" s="62"/>
      <c r="J69" s="62"/>
      <c r="K69" s="62"/>
      <c r="L69" s="62"/>
      <c r="M69" s="62"/>
      <c r="N69" s="62"/>
      <c r="O69" s="62"/>
      <c r="P69" s="62"/>
      <c r="Q69" s="62"/>
      <c r="R69" s="62"/>
      <c r="S69" s="62"/>
      <c r="T69" s="62"/>
      <c r="U69" s="62"/>
    </row>
    <row r="70" spans="2:21">
      <c r="B70" s="62"/>
      <c r="C70" s="62"/>
      <c r="D70" s="62"/>
      <c r="E70" s="62"/>
      <c r="F70" s="62"/>
      <c r="G70" s="62"/>
      <c r="H70" s="62"/>
      <c r="I70" s="62"/>
      <c r="J70" s="62"/>
      <c r="K70" s="62"/>
      <c r="L70" s="62"/>
      <c r="M70" s="62"/>
      <c r="N70" s="62"/>
      <c r="O70" s="62"/>
      <c r="P70" s="62"/>
      <c r="Q70" s="62"/>
      <c r="R70" s="62"/>
      <c r="S70" s="62"/>
      <c r="T70" s="62"/>
      <c r="U70" s="62"/>
    </row>
    <row r="71" spans="2:21">
      <c r="B71" s="62"/>
      <c r="C71" s="62"/>
      <c r="D71" s="62"/>
      <c r="E71" s="62"/>
      <c r="F71" s="62"/>
      <c r="G71" s="62"/>
      <c r="H71" s="62"/>
      <c r="I71" s="62"/>
      <c r="J71" s="62"/>
      <c r="K71" s="62"/>
      <c r="L71" s="62"/>
      <c r="M71" s="62"/>
      <c r="N71" s="62"/>
      <c r="O71" s="62"/>
      <c r="P71" s="62"/>
      <c r="Q71" s="62"/>
      <c r="R71" s="62"/>
      <c r="S71" s="62"/>
      <c r="T71" s="62"/>
      <c r="U71" s="62"/>
    </row>
    <row r="72" spans="2:21">
      <c r="B72" s="62"/>
      <c r="C72" s="62"/>
      <c r="D72" s="62"/>
      <c r="E72" s="62"/>
      <c r="F72" s="62"/>
      <c r="G72" s="62"/>
      <c r="H72" s="62"/>
      <c r="I72" s="62"/>
      <c r="J72" s="62"/>
      <c r="K72" s="62"/>
      <c r="L72" s="62"/>
      <c r="M72" s="62"/>
      <c r="N72" s="62"/>
      <c r="O72" s="62"/>
      <c r="P72" s="62"/>
      <c r="Q72" s="62"/>
      <c r="R72" s="62"/>
      <c r="S72" s="62"/>
      <c r="T72" s="62"/>
      <c r="U72" s="62"/>
    </row>
    <row r="73" spans="2:21">
      <c r="B73" s="62"/>
      <c r="C73" s="62"/>
      <c r="D73" s="62"/>
      <c r="E73" s="62"/>
      <c r="F73" s="62"/>
      <c r="G73" s="62"/>
      <c r="H73" s="62"/>
      <c r="I73" s="62"/>
      <c r="J73" s="62"/>
      <c r="K73" s="62"/>
      <c r="L73" s="62"/>
      <c r="M73" s="62"/>
      <c r="N73" s="62"/>
      <c r="O73" s="62"/>
      <c r="P73" s="62"/>
      <c r="Q73" s="62"/>
      <c r="R73" s="62"/>
      <c r="S73" s="62"/>
      <c r="T73" s="62"/>
      <c r="U73" s="62"/>
    </row>
    <row r="74" spans="2:21">
      <c r="B74" s="62"/>
      <c r="C74" s="62"/>
      <c r="D74" s="62"/>
      <c r="E74" s="62"/>
      <c r="F74" s="62"/>
      <c r="G74" s="62"/>
      <c r="H74" s="62"/>
      <c r="I74" s="62"/>
      <c r="J74" s="62"/>
      <c r="K74" s="62"/>
      <c r="L74" s="62"/>
      <c r="M74" s="62"/>
      <c r="N74" s="62"/>
      <c r="O74" s="62"/>
      <c r="P74" s="62"/>
      <c r="Q74" s="62"/>
      <c r="R74" s="62"/>
      <c r="S74" s="62"/>
      <c r="T74" s="62"/>
      <c r="U74" s="62"/>
    </row>
    <row r="75" spans="2:21">
      <c r="B75" s="62"/>
      <c r="C75" s="62"/>
      <c r="D75" s="62"/>
      <c r="E75" s="62"/>
      <c r="F75" s="62"/>
      <c r="G75" s="62"/>
      <c r="H75" s="62"/>
      <c r="I75" s="62"/>
      <c r="J75" s="62"/>
      <c r="K75" s="62"/>
      <c r="L75" s="62"/>
      <c r="M75" s="62"/>
      <c r="N75" s="62"/>
      <c r="O75" s="62"/>
      <c r="P75" s="62"/>
      <c r="Q75" s="62"/>
      <c r="R75" s="62"/>
      <c r="S75" s="62"/>
      <c r="T75" s="62"/>
      <c r="U75" s="62"/>
    </row>
    <row r="76" spans="2:21">
      <c r="B76" s="62"/>
      <c r="C76" s="62"/>
      <c r="D76" s="62"/>
      <c r="E76" s="62"/>
      <c r="F76" s="62"/>
      <c r="G76" s="62"/>
      <c r="H76" s="62"/>
      <c r="I76" s="62"/>
      <c r="J76" s="62"/>
      <c r="K76" s="62"/>
      <c r="L76" s="62"/>
      <c r="M76" s="62"/>
      <c r="N76" s="62"/>
      <c r="O76" s="62"/>
      <c r="P76" s="62"/>
      <c r="Q76" s="62"/>
      <c r="R76" s="62"/>
      <c r="S76" s="62"/>
      <c r="T76" s="62"/>
      <c r="U76" s="62"/>
    </row>
    <row r="77" spans="2:21">
      <c r="B77" s="62"/>
      <c r="C77" s="62"/>
      <c r="D77" s="62"/>
      <c r="E77" s="62"/>
      <c r="F77" s="62"/>
      <c r="G77" s="62"/>
      <c r="H77" s="62"/>
      <c r="I77" s="62"/>
      <c r="J77" s="62"/>
      <c r="K77" s="62"/>
      <c r="L77" s="62"/>
      <c r="M77" s="62"/>
      <c r="N77" s="62"/>
      <c r="O77" s="62"/>
      <c r="P77" s="62"/>
      <c r="Q77" s="62"/>
      <c r="R77" s="62"/>
      <c r="S77" s="62"/>
      <c r="T77" s="62"/>
      <c r="U77" s="62"/>
    </row>
    <row r="78" spans="2:21">
      <c r="B78" s="62"/>
      <c r="C78" s="62"/>
      <c r="D78" s="62"/>
      <c r="E78" s="62"/>
      <c r="F78" s="62"/>
      <c r="G78" s="62"/>
      <c r="H78" s="62"/>
      <c r="I78" s="62"/>
      <c r="J78" s="62"/>
      <c r="K78" s="62"/>
      <c r="L78" s="62"/>
      <c r="M78" s="62"/>
      <c r="N78" s="62"/>
      <c r="O78" s="62"/>
      <c r="P78" s="62"/>
      <c r="Q78" s="62"/>
      <c r="R78" s="62"/>
      <c r="S78" s="62"/>
      <c r="T78" s="62"/>
      <c r="U78" s="62"/>
    </row>
    <row r="79" spans="2:21">
      <c r="B79" s="62"/>
      <c r="C79" s="62"/>
      <c r="D79" s="62"/>
      <c r="E79" s="62"/>
      <c r="F79" s="62"/>
      <c r="G79" s="62"/>
      <c r="H79" s="62"/>
      <c r="I79" s="62"/>
      <c r="J79" s="62"/>
      <c r="K79" s="62"/>
      <c r="L79" s="62"/>
      <c r="M79" s="62"/>
      <c r="N79" s="62"/>
      <c r="O79" s="62"/>
      <c r="P79" s="62"/>
      <c r="Q79" s="62"/>
      <c r="R79" s="62"/>
      <c r="S79" s="62"/>
      <c r="T79" s="62"/>
      <c r="U79" s="62"/>
    </row>
    <row r="80" spans="2:21">
      <c r="B80" s="62"/>
      <c r="C80" s="62"/>
      <c r="D80" s="62"/>
      <c r="E80" s="62"/>
      <c r="F80" s="62"/>
      <c r="G80" s="62"/>
      <c r="H80" s="62"/>
      <c r="I80" s="62"/>
      <c r="J80" s="62"/>
      <c r="K80" s="62"/>
      <c r="L80" s="62"/>
      <c r="M80" s="62"/>
      <c r="N80" s="62"/>
      <c r="O80" s="62"/>
      <c r="P80" s="62"/>
      <c r="Q80" s="62"/>
      <c r="R80" s="62"/>
      <c r="S80" s="62"/>
      <c r="T80" s="62"/>
      <c r="U80" s="62"/>
    </row>
    <row r="81" spans="2:21">
      <c r="B81" s="62"/>
      <c r="C81" s="62"/>
      <c r="D81" s="62"/>
      <c r="E81" s="62"/>
      <c r="F81" s="62"/>
      <c r="G81" s="62"/>
      <c r="H81" s="62"/>
      <c r="I81" s="62"/>
      <c r="J81" s="62"/>
      <c r="K81" s="62"/>
      <c r="L81" s="62"/>
      <c r="M81" s="62"/>
      <c r="N81" s="62"/>
      <c r="O81" s="62"/>
      <c r="P81" s="62"/>
      <c r="Q81" s="62"/>
      <c r="R81" s="62"/>
      <c r="S81" s="62"/>
      <c r="T81" s="62"/>
      <c r="U81" s="62"/>
    </row>
    <row r="82" spans="2:21">
      <c r="B82" s="62"/>
      <c r="C82" s="62"/>
      <c r="D82" s="62"/>
      <c r="E82" s="62"/>
      <c r="F82" s="62"/>
      <c r="G82" s="62"/>
      <c r="H82" s="62"/>
      <c r="I82" s="62"/>
      <c r="J82" s="62"/>
      <c r="K82" s="62"/>
      <c r="L82" s="62"/>
      <c r="M82" s="62"/>
      <c r="N82" s="62"/>
      <c r="O82" s="62"/>
      <c r="P82" s="62"/>
      <c r="Q82" s="62"/>
      <c r="R82" s="62"/>
      <c r="S82" s="62"/>
      <c r="T82" s="62"/>
      <c r="U82" s="62"/>
    </row>
    <row r="83" spans="2:21">
      <c r="B83" s="62"/>
      <c r="C83" s="62"/>
      <c r="D83" s="62"/>
      <c r="E83" s="62"/>
      <c r="F83" s="62"/>
      <c r="G83" s="62"/>
      <c r="H83" s="62"/>
      <c r="I83" s="62"/>
      <c r="J83" s="62"/>
      <c r="K83" s="62"/>
      <c r="L83" s="62"/>
      <c r="M83" s="62"/>
      <c r="N83" s="62"/>
      <c r="O83" s="62"/>
      <c r="P83" s="62"/>
      <c r="Q83" s="62"/>
      <c r="R83" s="62"/>
      <c r="S83" s="62"/>
      <c r="T83" s="62"/>
      <c r="U83" s="62"/>
    </row>
    <row r="84" spans="2:21">
      <c r="B84" s="62"/>
      <c r="C84" s="62"/>
      <c r="D84" s="62"/>
      <c r="E84" s="62"/>
      <c r="F84" s="62"/>
      <c r="G84" s="62"/>
      <c r="H84" s="62"/>
      <c r="I84" s="62"/>
      <c r="J84" s="62"/>
      <c r="K84" s="62"/>
      <c r="L84" s="62"/>
      <c r="M84" s="62"/>
      <c r="N84" s="62"/>
      <c r="O84" s="62"/>
      <c r="P84" s="62"/>
      <c r="Q84" s="62"/>
      <c r="R84" s="62"/>
      <c r="S84" s="62"/>
      <c r="T84" s="62"/>
      <c r="U84" s="62"/>
    </row>
    <row r="85" spans="2:21">
      <c r="B85" s="62"/>
      <c r="C85" s="62"/>
      <c r="D85" s="62"/>
      <c r="E85" s="62"/>
      <c r="F85" s="62"/>
      <c r="G85" s="62"/>
      <c r="H85" s="62"/>
      <c r="I85" s="62"/>
      <c r="J85" s="62"/>
      <c r="K85" s="62"/>
      <c r="L85" s="62"/>
      <c r="M85" s="62"/>
      <c r="N85" s="62"/>
      <c r="O85" s="62"/>
      <c r="P85" s="62"/>
      <c r="Q85" s="62"/>
      <c r="R85" s="62"/>
      <c r="S85" s="62"/>
      <c r="T85" s="62"/>
      <c r="U85" s="62"/>
    </row>
    <row r="86" spans="2:21">
      <c r="B86" s="62"/>
      <c r="C86" s="62"/>
      <c r="D86" s="62"/>
      <c r="E86" s="62"/>
      <c r="F86" s="62"/>
      <c r="G86" s="62"/>
      <c r="H86" s="62"/>
      <c r="I86" s="62"/>
      <c r="J86" s="62"/>
      <c r="K86" s="62"/>
      <c r="L86" s="62"/>
      <c r="M86" s="62"/>
      <c r="N86" s="62"/>
      <c r="O86" s="62"/>
      <c r="P86" s="62"/>
      <c r="Q86" s="62"/>
      <c r="R86" s="62"/>
      <c r="S86" s="62"/>
      <c r="T86" s="62"/>
      <c r="U86" s="62"/>
    </row>
    <row r="87" spans="2:21">
      <c r="B87" s="62"/>
      <c r="C87" s="62"/>
      <c r="D87" s="62"/>
      <c r="E87" s="62"/>
      <c r="F87" s="62"/>
      <c r="G87" s="62"/>
      <c r="H87" s="62"/>
      <c r="I87" s="62"/>
      <c r="J87" s="62"/>
      <c r="K87" s="62"/>
      <c r="L87" s="62"/>
      <c r="M87" s="62"/>
      <c r="N87" s="62"/>
      <c r="O87" s="62"/>
      <c r="P87" s="62"/>
      <c r="Q87" s="62"/>
      <c r="R87" s="62"/>
      <c r="S87" s="62"/>
      <c r="T87" s="62"/>
      <c r="U87" s="62"/>
    </row>
    <row r="88" spans="2:21">
      <c r="B88" s="62"/>
      <c r="C88" s="62"/>
      <c r="D88" s="62"/>
      <c r="E88" s="62"/>
      <c r="F88" s="62"/>
      <c r="G88" s="62"/>
      <c r="H88" s="62"/>
      <c r="I88" s="62"/>
      <c r="J88" s="62"/>
      <c r="K88" s="62"/>
      <c r="L88" s="62"/>
      <c r="M88" s="62"/>
      <c r="N88" s="62"/>
      <c r="O88" s="62"/>
      <c r="P88" s="62"/>
      <c r="Q88" s="62"/>
      <c r="R88" s="62"/>
      <c r="S88" s="62"/>
      <c r="T88" s="62"/>
      <c r="U88" s="62"/>
    </row>
    <row r="89" spans="2:21">
      <c r="B89" s="62"/>
      <c r="C89" s="62"/>
      <c r="D89" s="62"/>
      <c r="E89" s="62"/>
      <c r="F89" s="62"/>
      <c r="G89" s="62"/>
      <c r="H89" s="62"/>
      <c r="I89" s="62"/>
      <c r="J89" s="62"/>
      <c r="K89" s="62"/>
      <c r="L89" s="62"/>
      <c r="M89" s="62"/>
      <c r="N89" s="62"/>
      <c r="O89" s="62"/>
      <c r="P89" s="62"/>
      <c r="Q89" s="62"/>
      <c r="R89" s="62"/>
      <c r="S89" s="62"/>
      <c r="T89" s="62"/>
      <c r="U89" s="62"/>
    </row>
    <row r="90" spans="2:21">
      <c r="B90" s="62"/>
      <c r="C90" s="62"/>
      <c r="D90" s="62"/>
      <c r="E90" s="62"/>
      <c r="F90" s="62"/>
      <c r="G90" s="62"/>
      <c r="H90" s="62"/>
      <c r="I90" s="62"/>
      <c r="J90" s="62"/>
      <c r="K90" s="62"/>
      <c r="L90" s="62"/>
      <c r="M90" s="62"/>
      <c r="N90" s="62"/>
      <c r="O90" s="62"/>
      <c r="P90" s="62"/>
      <c r="Q90" s="62"/>
      <c r="R90" s="62"/>
      <c r="S90" s="62"/>
      <c r="T90" s="62"/>
      <c r="U90" s="62"/>
    </row>
    <row r="91" spans="2:21">
      <c r="B91" s="62"/>
      <c r="C91" s="62"/>
      <c r="D91" s="62"/>
      <c r="E91" s="62"/>
      <c r="F91" s="62"/>
      <c r="G91" s="62"/>
      <c r="H91" s="62"/>
      <c r="I91" s="62"/>
      <c r="J91" s="62"/>
      <c r="K91" s="62"/>
      <c r="L91" s="62"/>
      <c r="M91" s="62"/>
      <c r="N91" s="62"/>
      <c r="O91" s="62"/>
      <c r="P91" s="62"/>
      <c r="Q91" s="62"/>
      <c r="R91" s="62"/>
      <c r="S91" s="62"/>
      <c r="T91" s="62"/>
      <c r="U91" s="62"/>
    </row>
    <row r="92" spans="2:21">
      <c r="B92" s="62"/>
      <c r="C92" s="62"/>
      <c r="D92" s="62"/>
      <c r="E92" s="62"/>
      <c r="F92" s="62"/>
      <c r="G92" s="62"/>
      <c r="H92" s="62"/>
      <c r="I92" s="62"/>
      <c r="J92" s="62"/>
      <c r="K92" s="62"/>
      <c r="L92" s="62"/>
      <c r="M92" s="62"/>
      <c r="N92" s="62"/>
      <c r="O92" s="62"/>
      <c r="P92" s="62"/>
      <c r="Q92" s="62"/>
      <c r="R92" s="62"/>
      <c r="S92" s="62"/>
      <c r="T92" s="62"/>
      <c r="U92" s="62"/>
    </row>
    <row r="93" spans="2:21">
      <c r="B93" s="62"/>
      <c r="C93" s="62"/>
      <c r="D93" s="62"/>
      <c r="E93" s="62"/>
      <c r="F93" s="62"/>
      <c r="G93" s="62"/>
      <c r="H93" s="62"/>
      <c r="I93" s="62"/>
      <c r="J93" s="62"/>
      <c r="K93" s="62"/>
      <c r="L93" s="62"/>
      <c r="M93" s="62"/>
      <c r="N93" s="62"/>
      <c r="O93" s="62"/>
      <c r="P93" s="62"/>
      <c r="Q93" s="62"/>
      <c r="R93" s="62"/>
      <c r="S93" s="62"/>
      <c r="T93" s="62"/>
      <c r="U93" s="62"/>
    </row>
    <row r="94" spans="2:21">
      <c r="B94" s="62"/>
      <c r="C94" s="62"/>
      <c r="D94" s="62"/>
      <c r="E94" s="62"/>
      <c r="F94" s="62"/>
      <c r="G94" s="62"/>
      <c r="H94" s="62"/>
      <c r="I94" s="62"/>
      <c r="J94" s="62"/>
      <c r="K94" s="62"/>
      <c r="L94" s="62"/>
      <c r="M94" s="62"/>
      <c r="N94" s="62"/>
      <c r="O94" s="62"/>
      <c r="P94" s="62"/>
      <c r="Q94" s="62"/>
      <c r="R94" s="62"/>
      <c r="S94" s="62"/>
      <c r="T94" s="62"/>
      <c r="U94" s="62"/>
    </row>
    <row r="95" spans="2:21">
      <c r="B95" s="62"/>
      <c r="C95" s="62"/>
      <c r="D95" s="62"/>
      <c r="E95" s="62"/>
      <c r="F95" s="62"/>
      <c r="G95" s="62"/>
      <c r="H95" s="62"/>
      <c r="I95" s="62"/>
      <c r="J95" s="62"/>
      <c r="K95" s="62"/>
      <c r="L95" s="62"/>
      <c r="M95" s="62"/>
      <c r="N95" s="62"/>
      <c r="O95" s="62"/>
      <c r="P95" s="62"/>
      <c r="Q95" s="62"/>
      <c r="R95" s="62"/>
      <c r="S95" s="62"/>
      <c r="T95" s="62"/>
      <c r="U95" s="62"/>
    </row>
    <row r="96" spans="2:21">
      <c r="B96" s="62"/>
      <c r="C96" s="62"/>
      <c r="D96" s="62"/>
      <c r="E96" s="62"/>
      <c r="F96" s="62"/>
      <c r="G96" s="62"/>
      <c r="H96" s="62"/>
      <c r="I96" s="62"/>
      <c r="J96" s="62"/>
      <c r="K96" s="62"/>
      <c r="L96" s="62"/>
      <c r="M96" s="62"/>
      <c r="N96" s="62"/>
      <c r="O96" s="62"/>
      <c r="P96" s="62"/>
      <c r="Q96" s="62"/>
      <c r="R96" s="62"/>
      <c r="S96" s="62"/>
      <c r="T96" s="62"/>
      <c r="U96" s="62"/>
    </row>
    <row r="97" spans="2:21">
      <c r="B97" s="62"/>
      <c r="C97" s="62"/>
      <c r="D97" s="62"/>
      <c r="E97" s="62"/>
      <c r="F97" s="62"/>
      <c r="G97" s="62"/>
      <c r="H97" s="62"/>
      <c r="I97" s="62"/>
      <c r="J97" s="62"/>
      <c r="K97" s="62"/>
      <c r="L97" s="62"/>
      <c r="M97" s="62"/>
      <c r="N97" s="62"/>
      <c r="O97" s="62"/>
      <c r="P97" s="62"/>
      <c r="Q97" s="62"/>
      <c r="R97" s="62"/>
      <c r="S97" s="62"/>
      <c r="T97" s="62"/>
      <c r="U97" s="62"/>
    </row>
    <row r="98" spans="2:21">
      <c r="B98" s="62"/>
      <c r="C98" s="62"/>
      <c r="D98" s="62"/>
      <c r="E98" s="62"/>
      <c r="F98" s="62"/>
      <c r="G98" s="62"/>
      <c r="H98" s="62"/>
      <c r="I98" s="62"/>
      <c r="J98" s="62"/>
      <c r="K98" s="62"/>
      <c r="L98" s="62"/>
      <c r="M98" s="62"/>
      <c r="N98" s="62"/>
      <c r="O98" s="62"/>
      <c r="P98" s="62"/>
      <c r="Q98" s="62"/>
      <c r="R98" s="62"/>
      <c r="S98" s="62"/>
      <c r="T98" s="62"/>
      <c r="U98" s="62"/>
    </row>
    <row r="99" spans="2:21">
      <c r="B99" s="62"/>
      <c r="C99" s="62"/>
      <c r="D99" s="62"/>
      <c r="E99" s="62"/>
      <c r="F99" s="62"/>
      <c r="G99" s="62"/>
      <c r="H99" s="62"/>
      <c r="I99" s="62"/>
      <c r="J99" s="62"/>
      <c r="K99" s="62"/>
      <c r="L99" s="62"/>
      <c r="M99" s="62"/>
      <c r="N99" s="62"/>
      <c r="O99" s="62"/>
      <c r="P99" s="62"/>
      <c r="Q99" s="62"/>
      <c r="R99" s="62"/>
      <c r="S99" s="62"/>
      <c r="T99" s="62"/>
      <c r="U99" s="62"/>
    </row>
    <row r="100" spans="2:21">
      <c r="B100" s="62"/>
      <c r="C100" s="62"/>
      <c r="D100" s="62"/>
      <c r="E100" s="62"/>
      <c r="F100" s="62"/>
      <c r="G100" s="62"/>
      <c r="H100" s="62"/>
      <c r="I100" s="62"/>
      <c r="J100" s="62"/>
      <c r="K100" s="62"/>
      <c r="L100" s="62"/>
      <c r="M100" s="62"/>
      <c r="N100" s="62"/>
      <c r="O100" s="62"/>
      <c r="P100" s="62"/>
      <c r="Q100" s="62"/>
      <c r="R100" s="62"/>
      <c r="S100" s="62"/>
      <c r="T100" s="62"/>
      <c r="U100" s="62"/>
    </row>
    <row r="101" spans="2:21">
      <c r="B101" s="62"/>
      <c r="C101" s="62"/>
      <c r="D101" s="62"/>
      <c r="E101" s="62"/>
      <c r="F101" s="62"/>
      <c r="G101" s="62"/>
      <c r="H101" s="62"/>
      <c r="I101" s="62"/>
      <c r="J101" s="62"/>
      <c r="K101" s="62"/>
      <c r="L101" s="62"/>
      <c r="M101" s="62"/>
      <c r="N101" s="62"/>
      <c r="O101" s="62"/>
      <c r="P101" s="62"/>
      <c r="Q101" s="62"/>
      <c r="R101" s="62"/>
      <c r="S101" s="62"/>
      <c r="T101" s="62"/>
      <c r="U101" s="62"/>
    </row>
    <row r="102" spans="2:21">
      <c r="B102" s="62"/>
      <c r="C102" s="62"/>
      <c r="D102" s="62"/>
      <c r="E102" s="62"/>
      <c r="F102" s="62"/>
      <c r="G102" s="62"/>
      <c r="H102" s="62"/>
      <c r="I102" s="62"/>
      <c r="J102" s="62"/>
      <c r="K102" s="62"/>
      <c r="L102" s="62"/>
      <c r="M102" s="62"/>
      <c r="N102" s="62"/>
      <c r="O102" s="62"/>
      <c r="P102" s="62"/>
      <c r="Q102" s="62"/>
      <c r="R102" s="62"/>
      <c r="S102" s="62"/>
      <c r="T102" s="62"/>
      <c r="U102" s="62"/>
    </row>
    <row r="103" spans="2:21">
      <c r="B103" s="62"/>
      <c r="C103" s="62"/>
      <c r="D103" s="62"/>
      <c r="E103" s="62"/>
      <c r="F103" s="62"/>
      <c r="G103" s="62"/>
      <c r="H103" s="62"/>
      <c r="I103" s="62"/>
      <c r="J103" s="62"/>
      <c r="K103" s="62"/>
      <c r="L103" s="62"/>
      <c r="M103" s="62"/>
      <c r="N103" s="62"/>
      <c r="O103" s="62"/>
      <c r="P103" s="62"/>
      <c r="Q103" s="62"/>
      <c r="R103" s="62"/>
      <c r="S103" s="62"/>
      <c r="T103" s="62"/>
      <c r="U103" s="62"/>
    </row>
    <row r="104" spans="2:21">
      <c r="B104" s="62"/>
      <c r="C104" s="62"/>
      <c r="D104" s="62"/>
      <c r="E104" s="62"/>
      <c r="F104" s="62"/>
      <c r="G104" s="62"/>
      <c r="H104" s="62"/>
      <c r="I104" s="62"/>
      <c r="J104" s="62"/>
      <c r="K104" s="62"/>
      <c r="L104" s="62"/>
      <c r="M104" s="62"/>
      <c r="N104" s="62"/>
      <c r="O104" s="62"/>
      <c r="P104" s="62"/>
      <c r="Q104" s="62"/>
      <c r="R104" s="62"/>
      <c r="S104" s="62"/>
      <c r="T104" s="62"/>
      <c r="U104" s="62"/>
    </row>
    <row r="105" spans="2:21">
      <c r="B105" s="62"/>
      <c r="C105" s="62"/>
      <c r="D105" s="62"/>
      <c r="E105" s="62"/>
      <c r="F105" s="62"/>
      <c r="G105" s="62"/>
      <c r="H105" s="62"/>
      <c r="I105" s="62"/>
      <c r="J105" s="62"/>
      <c r="K105" s="62"/>
      <c r="L105" s="62"/>
      <c r="M105" s="62"/>
      <c r="N105" s="62"/>
      <c r="O105" s="62"/>
      <c r="P105" s="62"/>
      <c r="Q105" s="62"/>
      <c r="R105" s="62"/>
      <c r="S105" s="62"/>
      <c r="T105" s="62"/>
      <c r="U105" s="62"/>
    </row>
    <row r="106" spans="2:21">
      <c r="B106" s="62"/>
      <c r="C106" s="62"/>
      <c r="D106" s="62"/>
      <c r="E106" s="62"/>
      <c r="F106" s="62"/>
      <c r="G106" s="62"/>
      <c r="H106" s="62"/>
      <c r="I106" s="62"/>
      <c r="J106" s="62"/>
      <c r="K106" s="62"/>
      <c r="L106" s="62"/>
      <c r="M106" s="62"/>
      <c r="N106" s="62"/>
      <c r="O106" s="62"/>
      <c r="P106" s="62"/>
      <c r="Q106" s="62"/>
      <c r="R106" s="62"/>
      <c r="S106" s="62"/>
      <c r="T106" s="62"/>
      <c r="U106" s="62"/>
    </row>
    <row r="107" spans="2:21">
      <c r="B107" s="62"/>
      <c r="C107" s="62"/>
      <c r="D107" s="62"/>
      <c r="E107" s="62"/>
      <c r="F107" s="62"/>
      <c r="G107" s="62"/>
      <c r="H107" s="62"/>
      <c r="I107" s="62"/>
      <c r="J107" s="62"/>
      <c r="K107" s="62"/>
      <c r="L107" s="62"/>
      <c r="M107" s="62"/>
      <c r="N107" s="62"/>
      <c r="O107" s="62"/>
      <c r="P107" s="62"/>
      <c r="Q107" s="62"/>
      <c r="R107" s="62"/>
      <c r="S107" s="62"/>
      <c r="T107" s="62"/>
      <c r="U107" s="62"/>
    </row>
    <row r="108" spans="2:21">
      <c r="B108" s="62"/>
      <c r="C108" s="62"/>
      <c r="D108" s="62"/>
      <c r="E108" s="62"/>
      <c r="F108" s="62"/>
      <c r="G108" s="62"/>
      <c r="H108" s="62"/>
      <c r="I108" s="62"/>
      <c r="J108" s="62"/>
      <c r="K108" s="62"/>
      <c r="L108" s="62"/>
      <c r="M108" s="62"/>
      <c r="N108" s="62"/>
      <c r="O108" s="62"/>
      <c r="P108" s="62"/>
      <c r="Q108" s="62"/>
      <c r="R108" s="62"/>
      <c r="S108" s="62"/>
      <c r="T108" s="62"/>
      <c r="U108" s="62"/>
    </row>
    <row r="109" spans="2:21">
      <c r="B109" s="62"/>
      <c r="C109" s="62"/>
      <c r="D109" s="62"/>
      <c r="E109" s="62"/>
      <c r="F109" s="62"/>
      <c r="G109" s="62"/>
      <c r="H109" s="62"/>
      <c r="I109" s="62"/>
      <c r="J109" s="62"/>
      <c r="K109" s="62"/>
      <c r="L109" s="62"/>
      <c r="M109" s="62"/>
      <c r="N109" s="62"/>
      <c r="O109" s="62"/>
      <c r="P109" s="62"/>
      <c r="Q109" s="62"/>
      <c r="R109" s="62"/>
      <c r="S109" s="62"/>
      <c r="T109" s="62"/>
      <c r="U109" s="62"/>
    </row>
    <row r="110" spans="2:21">
      <c r="B110" s="62"/>
      <c r="C110" s="62"/>
      <c r="D110" s="62"/>
      <c r="E110" s="62"/>
      <c r="F110" s="62"/>
      <c r="G110" s="62"/>
      <c r="H110" s="62"/>
      <c r="I110" s="62"/>
      <c r="J110" s="62"/>
      <c r="K110" s="62"/>
      <c r="L110" s="62"/>
      <c r="M110" s="62"/>
      <c r="N110" s="62"/>
      <c r="O110" s="62"/>
      <c r="P110" s="62"/>
      <c r="Q110" s="62"/>
      <c r="R110" s="62"/>
      <c r="S110" s="62"/>
      <c r="T110" s="62"/>
      <c r="U110" s="62"/>
    </row>
    <row r="111" spans="2:21">
      <c r="B111" s="62"/>
      <c r="C111" s="62"/>
      <c r="D111" s="62"/>
      <c r="E111" s="62"/>
      <c r="F111" s="62"/>
      <c r="G111" s="62"/>
      <c r="H111" s="62"/>
      <c r="I111" s="62"/>
      <c r="J111" s="62"/>
      <c r="K111" s="62"/>
      <c r="L111" s="62"/>
      <c r="M111" s="62"/>
      <c r="N111" s="62"/>
      <c r="O111" s="62"/>
      <c r="P111" s="62"/>
      <c r="Q111" s="62"/>
      <c r="R111" s="62"/>
      <c r="S111" s="62"/>
      <c r="T111" s="62"/>
      <c r="U111" s="62"/>
    </row>
    <row r="112" spans="2:21">
      <c r="B112" s="62"/>
      <c r="C112" s="62"/>
      <c r="D112" s="62"/>
      <c r="E112" s="62"/>
      <c r="F112" s="62"/>
      <c r="G112" s="62"/>
      <c r="H112" s="62"/>
      <c r="I112" s="62"/>
      <c r="J112" s="62"/>
      <c r="K112" s="62"/>
      <c r="L112" s="62"/>
      <c r="M112" s="62"/>
      <c r="N112" s="62"/>
      <c r="O112" s="62"/>
      <c r="P112" s="62"/>
      <c r="Q112" s="62"/>
      <c r="R112" s="62"/>
      <c r="S112" s="62"/>
      <c r="T112" s="62"/>
      <c r="U112" s="62"/>
    </row>
    <row r="113" spans="2:21">
      <c r="B113" s="62"/>
      <c r="C113" s="62"/>
      <c r="D113" s="62"/>
      <c r="E113" s="62"/>
      <c r="F113" s="62"/>
      <c r="G113" s="62"/>
      <c r="H113" s="62"/>
      <c r="I113" s="62"/>
      <c r="J113" s="62"/>
      <c r="K113" s="62"/>
      <c r="L113" s="62"/>
      <c r="M113" s="62"/>
      <c r="N113" s="62"/>
      <c r="O113" s="62"/>
      <c r="P113" s="62"/>
      <c r="Q113" s="62"/>
      <c r="R113" s="62"/>
      <c r="S113" s="62"/>
      <c r="T113" s="62"/>
      <c r="U113" s="62"/>
    </row>
    <row r="114" spans="2:21">
      <c r="B114" s="62"/>
      <c r="C114" s="62"/>
      <c r="D114" s="62"/>
      <c r="E114" s="62"/>
      <c r="F114" s="62"/>
      <c r="G114" s="62"/>
      <c r="H114" s="62"/>
      <c r="I114" s="62"/>
      <c r="J114" s="62"/>
      <c r="K114" s="62"/>
      <c r="L114" s="62"/>
      <c r="M114" s="62"/>
      <c r="N114" s="62"/>
      <c r="O114" s="62"/>
      <c r="P114" s="62"/>
      <c r="Q114" s="62"/>
      <c r="R114" s="62"/>
      <c r="S114" s="62"/>
      <c r="T114" s="62"/>
      <c r="U114" s="62"/>
    </row>
    <row r="115" spans="2:21">
      <c r="B115" s="62"/>
      <c r="C115" s="62"/>
      <c r="D115" s="62"/>
      <c r="E115" s="62"/>
      <c r="F115" s="62"/>
      <c r="G115" s="62"/>
      <c r="H115" s="62"/>
      <c r="I115" s="62"/>
      <c r="J115" s="62"/>
      <c r="K115" s="62"/>
      <c r="L115" s="62"/>
      <c r="M115" s="62"/>
      <c r="N115" s="62"/>
      <c r="O115" s="62"/>
      <c r="P115" s="62"/>
      <c r="Q115" s="62"/>
      <c r="R115" s="62"/>
      <c r="S115" s="62"/>
      <c r="T115" s="62"/>
      <c r="U115" s="62"/>
    </row>
    <row r="116" spans="2:21">
      <c r="B116" s="62"/>
      <c r="C116" s="62"/>
      <c r="D116" s="62"/>
      <c r="E116" s="62"/>
      <c r="F116" s="62"/>
      <c r="G116" s="62"/>
      <c r="H116" s="62"/>
      <c r="I116" s="62"/>
      <c r="J116" s="62"/>
      <c r="K116" s="62"/>
      <c r="L116" s="62"/>
      <c r="M116" s="62"/>
      <c r="N116" s="62"/>
      <c r="O116" s="62"/>
      <c r="P116" s="62"/>
      <c r="Q116" s="62"/>
      <c r="R116" s="62"/>
      <c r="S116" s="62"/>
      <c r="T116" s="62"/>
      <c r="U116" s="62"/>
    </row>
    <row r="117" spans="2:21">
      <c r="B117" s="62"/>
      <c r="C117" s="62"/>
      <c r="D117" s="62"/>
      <c r="E117" s="62"/>
      <c r="F117" s="62"/>
      <c r="G117" s="62"/>
      <c r="H117" s="62"/>
      <c r="I117" s="62"/>
      <c r="J117" s="62"/>
      <c r="K117" s="62"/>
      <c r="L117" s="62"/>
      <c r="M117" s="62"/>
      <c r="N117" s="62"/>
      <c r="O117" s="62"/>
      <c r="P117" s="62"/>
      <c r="Q117" s="62"/>
      <c r="R117" s="62"/>
      <c r="S117" s="62"/>
      <c r="T117" s="62"/>
      <c r="U117" s="62"/>
    </row>
    <row r="118" spans="2:21">
      <c r="B118" s="62"/>
      <c r="C118" s="62"/>
      <c r="D118" s="62"/>
      <c r="E118" s="62"/>
      <c r="F118" s="62"/>
      <c r="G118" s="62"/>
      <c r="H118" s="62"/>
      <c r="I118" s="62"/>
      <c r="J118" s="62"/>
      <c r="K118" s="62"/>
      <c r="L118" s="62"/>
      <c r="M118" s="62"/>
      <c r="N118" s="62"/>
      <c r="O118" s="62"/>
      <c r="P118" s="62"/>
      <c r="Q118" s="62"/>
      <c r="R118" s="62"/>
      <c r="S118" s="62"/>
      <c r="T118" s="62"/>
      <c r="U118" s="62"/>
    </row>
    <row r="119" spans="2:21">
      <c r="B119" s="62"/>
      <c r="C119" s="62"/>
      <c r="D119" s="62"/>
      <c r="E119" s="62"/>
      <c r="F119" s="62"/>
      <c r="G119" s="62"/>
      <c r="H119" s="62"/>
      <c r="I119" s="62"/>
      <c r="J119" s="62"/>
      <c r="K119" s="62"/>
      <c r="L119" s="62"/>
      <c r="M119" s="62"/>
      <c r="N119" s="62"/>
      <c r="O119" s="62"/>
      <c r="P119" s="62"/>
      <c r="Q119" s="62"/>
      <c r="R119" s="62"/>
      <c r="S119" s="62"/>
      <c r="T119" s="62"/>
      <c r="U119" s="62"/>
    </row>
    <row r="120" spans="2:21">
      <c r="B120" s="62"/>
      <c r="C120" s="62"/>
      <c r="D120" s="62"/>
      <c r="E120" s="62"/>
      <c r="F120" s="62"/>
      <c r="G120" s="62"/>
      <c r="H120" s="62"/>
      <c r="I120" s="62"/>
      <c r="J120" s="62"/>
      <c r="K120" s="62"/>
      <c r="L120" s="62"/>
      <c r="M120" s="62"/>
      <c r="N120" s="62"/>
      <c r="O120" s="62"/>
      <c r="P120" s="62"/>
      <c r="Q120" s="62"/>
      <c r="R120" s="62"/>
      <c r="S120" s="62"/>
      <c r="T120" s="62"/>
      <c r="U120" s="62"/>
    </row>
    <row r="121" spans="2:21">
      <c r="B121" s="62"/>
      <c r="C121" s="62"/>
      <c r="D121" s="62"/>
      <c r="E121" s="62"/>
      <c r="F121" s="62"/>
      <c r="G121" s="62"/>
      <c r="H121" s="62"/>
      <c r="I121" s="62"/>
      <c r="J121" s="62"/>
      <c r="K121" s="62"/>
      <c r="L121" s="62"/>
      <c r="M121" s="62"/>
      <c r="N121" s="62"/>
      <c r="O121" s="62"/>
      <c r="P121" s="62"/>
      <c r="Q121" s="62"/>
      <c r="R121" s="62"/>
      <c r="S121" s="62"/>
      <c r="T121" s="62"/>
      <c r="U121" s="62"/>
    </row>
    <row r="122" spans="2:21">
      <c r="B122" s="62"/>
      <c r="C122" s="62"/>
      <c r="D122" s="62"/>
      <c r="E122" s="62"/>
      <c r="F122" s="62"/>
      <c r="G122" s="62"/>
      <c r="H122" s="62"/>
      <c r="I122" s="62"/>
      <c r="J122" s="62"/>
      <c r="K122" s="62"/>
      <c r="L122" s="62"/>
      <c r="M122" s="62"/>
      <c r="N122" s="62"/>
      <c r="O122" s="62"/>
      <c r="P122" s="62"/>
      <c r="Q122" s="62"/>
      <c r="R122" s="62"/>
      <c r="S122" s="62"/>
      <c r="T122" s="62"/>
      <c r="U122" s="62"/>
    </row>
    <row r="123" spans="2:21">
      <c r="B123" s="62"/>
      <c r="C123" s="62"/>
      <c r="D123" s="62"/>
      <c r="E123" s="62"/>
      <c r="F123" s="62"/>
      <c r="G123" s="62"/>
      <c r="H123" s="62"/>
      <c r="I123" s="62"/>
      <c r="J123" s="62"/>
      <c r="K123" s="62"/>
      <c r="L123" s="62"/>
      <c r="M123" s="62"/>
      <c r="N123" s="62"/>
      <c r="O123" s="62"/>
      <c r="P123" s="62"/>
      <c r="Q123" s="62"/>
      <c r="R123" s="62"/>
      <c r="S123" s="62"/>
      <c r="T123" s="62"/>
      <c r="U123" s="62"/>
    </row>
    <row r="124" spans="2:21">
      <c r="B124" s="62"/>
      <c r="C124" s="62"/>
      <c r="D124" s="62"/>
      <c r="E124" s="62"/>
      <c r="F124" s="62"/>
      <c r="G124" s="62"/>
      <c r="H124" s="62"/>
      <c r="I124" s="62"/>
      <c r="J124" s="62"/>
      <c r="K124" s="62"/>
      <c r="L124" s="62"/>
      <c r="M124" s="62"/>
      <c r="N124" s="62"/>
      <c r="O124" s="62"/>
      <c r="P124" s="62"/>
      <c r="Q124" s="62"/>
      <c r="R124" s="62"/>
      <c r="S124" s="62"/>
      <c r="T124" s="62"/>
      <c r="U124" s="62"/>
    </row>
    <row r="125" spans="2:21">
      <c r="B125" s="62"/>
      <c r="C125" s="62"/>
      <c r="D125" s="62"/>
      <c r="E125" s="62"/>
      <c r="F125" s="62"/>
      <c r="G125" s="62"/>
      <c r="H125" s="62"/>
      <c r="I125" s="62"/>
      <c r="J125" s="62"/>
      <c r="K125" s="62"/>
      <c r="L125" s="62"/>
      <c r="M125" s="62"/>
      <c r="N125" s="62"/>
      <c r="O125" s="62"/>
      <c r="P125" s="62"/>
      <c r="Q125" s="62"/>
      <c r="R125" s="62"/>
      <c r="S125" s="62"/>
      <c r="T125" s="62"/>
      <c r="U125" s="62"/>
    </row>
    <row r="126" spans="2:21">
      <c r="B126" s="62"/>
      <c r="C126" s="62"/>
      <c r="D126" s="62"/>
      <c r="E126" s="62"/>
      <c r="F126" s="62"/>
      <c r="G126" s="62"/>
      <c r="H126" s="62"/>
      <c r="I126" s="62"/>
      <c r="J126" s="62"/>
      <c r="K126" s="62"/>
      <c r="L126" s="62"/>
      <c r="M126" s="62"/>
      <c r="N126" s="62"/>
      <c r="O126" s="62"/>
      <c r="P126" s="62"/>
      <c r="Q126" s="62"/>
      <c r="R126" s="62"/>
      <c r="S126" s="62"/>
      <c r="T126" s="62"/>
      <c r="U126" s="62"/>
    </row>
    <row r="127" spans="2:21">
      <c r="B127" s="62"/>
      <c r="C127" s="62"/>
      <c r="D127" s="62"/>
      <c r="E127" s="62"/>
      <c r="F127" s="62"/>
      <c r="G127" s="62"/>
      <c r="H127" s="62"/>
      <c r="I127" s="62"/>
      <c r="J127" s="62"/>
      <c r="K127" s="62"/>
      <c r="L127" s="62"/>
      <c r="M127" s="62"/>
      <c r="N127" s="62"/>
      <c r="O127" s="62"/>
      <c r="P127" s="62"/>
      <c r="Q127" s="62"/>
      <c r="R127" s="62"/>
      <c r="S127" s="62"/>
      <c r="T127" s="62"/>
      <c r="U127" s="62"/>
    </row>
    <row r="128" spans="2:21">
      <c r="B128" s="62"/>
      <c r="C128" s="62"/>
      <c r="D128" s="62"/>
      <c r="E128" s="62"/>
      <c r="F128" s="62"/>
      <c r="G128" s="62"/>
      <c r="H128" s="62"/>
      <c r="I128" s="62"/>
      <c r="J128" s="62"/>
      <c r="K128" s="62"/>
      <c r="L128" s="62"/>
      <c r="M128" s="62"/>
      <c r="N128" s="62"/>
      <c r="O128" s="62"/>
      <c r="P128" s="62"/>
      <c r="Q128" s="62"/>
      <c r="R128" s="62"/>
      <c r="S128" s="62"/>
      <c r="T128" s="62"/>
      <c r="U128" s="62"/>
    </row>
    <row r="129" spans="2:21">
      <c r="B129" s="62"/>
      <c r="C129" s="62"/>
      <c r="D129" s="62"/>
      <c r="E129" s="62"/>
      <c r="F129" s="62"/>
      <c r="G129" s="62"/>
      <c r="H129" s="62"/>
      <c r="I129" s="62"/>
      <c r="J129" s="62"/>
      <c r="K129" s="62"/>
      <c r="L129" s="62"/>
      <c r="M129" s="62"/>
      <c r="N129" s="62"/>
      <c r="O129" s="62"/>
      <c r="P129" s="62"/>
      <c r="Q129" s="62"/>
      <c r="R129" s="62"/>
      <c r="S129" s="62"/>
      <c r="T129" s="62"/>
      <c r="U129" s="62"/>
    </row>
    <row r="130" spans="2:21">
      <c r="B130" s="62"/>
      <c r="C130" s="62"/>
      <c r="D130" s="62"/>
      <c r="E130" s="62"/>
      <c r="F130" s="62"/>
      <c r="G130" s="62"/>
      <c r="H130" s="62"/>
      <c r="I130" s="62"/>
      <c r="J130" s="62"/>
      <c r="K130" s="62"/>
      <c r="L130" s="62"/>
      <c r="M130" s="62"/>
      <c r="N130" s="62"/>
      <c r="O130" s="62"/>
      <c r="P130" s="62"/>
      <c r="Q130" s="62"/>
      <c r="R130" s="62"/>
      <c r="S130" s="62"/>
      <c r="T130" s="62"/>
      <c r="U130" s="62"/>
    </row>
    <row r="131" spans="2:21">
      <c r="B131" s="62"/>
      <c r="C131" s="62"/>
      <c r="D131" s="62"/>
      <c r="E131" s="62"/>
      <c r="F131" s="62"/>
      <c r="G131" s="62"/>
      <c r="H131" s="62"/>
      <c r="I131" s="62"/>
      <c r="J131" s="62"/>
      <c r="K131" s="62"/>
      <c r="L131" s="62"/>
      <c r="M131" s="62"/>
      <c r="N131" s="62"/>
      <c r="O131" s="62"/>
      <c r="P131" s="62"/>
      <c r="Q131" s="62"/>
      <c r="R131" s="62"/>
      <c r="S131" s="62"/>
      <c r="T131" s="62"/>
      <c r="U131" s="62"/>
    </row>
    <row r="132" spans="2:21">
      <c r="B132" s="62"/>
      <c r="C132" s="62"/>
      <c r="D132" s="62"/>
      <c r="E132" s="62"/>
      <c r="F132" s="62"/>
      <c r="G132" s="62"/>
      <c r="H132" s="62"/>
      <c r="I132" s="62"/>
      <c r="J132" s="62"/>
      <c r="K132" s="62"/>
      <c r="L132" s="62"/>
      <c r="M132" s="62"/>
      <c r="N132" s="62"/>
      <c r="O132" s="62"/>
      <c r="P132" s="62"/>
      <c r="Q132" s="62"/>
      <c r="R132" s="62"/>
      <c r="S132" s="62"/>
      <c r="T132" s="62"/>
      <c r="U132" s="62"/>
    </row>
    <row r="133" spans="2:21">
      <c r="B133" s="62"/>
      <c r="C133" s="62"/>
      <c r="D133" s="62"/>
      <c r="E133" s="62"/>
      <c r="F133" s="62"/>
      <c r="G133" s="62"/>
      <c r="H133" s="62"/>
      <c r="I133" s="62"/>
      <c r="J133" s="62"/>
      <c r="K133" s="62"/>
      <c r="L133" s="62"/>
      <c r="M133" s="62"/>
      <c r="N133" s="62"/>
      <c r="O133" s="62"/>
      <c r="P133" s="62"/>
      <c r="Q133" s="62"/>
      <c r="R133" s="62"/>
      <c r="S133" s="62"/>
      <c r="T133" s="62"/>
      <c r="U133" s="62"/>
    </row>
    <row r="134" spans="2:21">
      <c r="B134" s="62"/>
      <c r="C134" s="62"/>
      <c r="D134" s="62"/>
      <c r="E134" s="62"/>
      <c r="F134" s="62"/>
      <c r="G134" s="62"/>
      <c r="H134" s="62"/>
      <c r="I134" s="62"/>
      <c r="J134" s="62"/>
      <c r="K134" s="62"/>
      <c r="L134" s="62"/>
      <c r="M134" s="62"/>
      <c r="N134" s="62"/>
      <c r="O134" s="62"/>
      <c r="P134" s="62"/>
      <c r="Q134" s="62"/>
      <c r="R134" s="62"/>
      <c r="S134" s="62"/>
      <c r="T134" s="62"/>
      <c r="U134" s="62"/>
    </row>
    <row r="135" spans="2:21">
      <c r="B135" s="62"/>
      <c r="C135" s="62"/>
      <c r="D135" s="62"/>
      <c r="E135" s="62"/>
      <c r="F135" s="62"/>
      <c r="G135" s="62"/>
      <c r="H135" s="62"/>
      <c r="I135" s="62"/>
      <c r="J135" s="62"/>
      <c r="K135" s="62"/>
      <c r="L135" s="62"/>
      <c r="M135" s="62"/>
      <c r="N135" s="62"/>
      <c r="O135" s="62"/>
      <c r="P135" s="62"/>
      <c r="Q135" s="62"/>
      <c r="R135" s="62"/>
      <c r="S135" s="62"/>
      <c r="T135" s="62"/>
      <c r="U135" s="62"/>
    </row>
    <row r="136" spans="2:21">
      <c r="B136" s="62"/>
      <c r="C136" s="62"/>
      <c r="D136" s="62"/>
      <c r="E136" s="62"/>
      <c r="F136" s="62"/>
      <c r="G136" s="62"/>
      <c r="H136" s="62"/>
      <c r="I136" s="62"/>
      <c r="J136" s="62"/>
      <c r="K136" s="62"/>
      <c r="L136" s="62"/>
      <c r="M136" s="62"/>
      <c r="N136" s="62"/>
      <c r="O136" s="62"/>
      <c r="P136" s="62"/>
      <c r="Q136" s="62"/>
      <c r="R136" s="62"/>
      <c r="S136" s="62"/>
      <c r="T136" s="62"/>
      <c r="U136" s="62"/>
    </row>
    <row r="137" spans="2:21">
      <c r="B137" s="62"/>
      <c r="C137" s="62"/>
      <c r="D137" s="62"/>
      <c r="E137" s="62"/>
      <c r="F137" s="62"/>
      <c r="G137" s="62"/>
      <c r="H137" s="62"/>
      <c r="I137" s="62"/>
      <c r="J137" s="62"/>
      <c r="K137" s="62"/>
      <c r="L137" s="62"/>
      <c r="M137" s="62"/>
      <c r="N137" s="62"/>
      <c r="O137" s="62"/>
      <c r="P137" s="62"/>
      <c r="Q137" s="62"/>
      <c r="R137" s="62"/>
      <c r="S137" s="62"/>
      <c r="T137" s="62"/>
      <c r="U137" s="62"/>
    </row>
    <row r="138" spans="2:21">
      <c r="B138" s="62"/>
      <c r="C138" s="62"/>
      <c r="D138" s="62"/>
      <c r="E138" s="62"/>
      <c r="F138" s="62"/>
      <c r="G138" s="62"/>
      <c r="H138" s="62"/>
      <c r="I138" s="62"/>
      <c r="J138" s="62"/>
      <c r="K138" s="62"/>
      <c r="L138" s="62"/>
      <c r="M138" s="62"/>
      <c r="N138" s="62"/>
      <c r="O138" s="62"/>
      <c r="P138" s="62"/>
      <c r="Q138" s="62"/>
      <c r="R138" s="62"/>
      <c r="S138" s="62"/>
      <c r="T138" s="62"/>
      <c r="U138" s="62"/>
    </row>
    <row r="139" spans="2:21">
      <c r="B139" s="62"/>
      <c r="C139" s="62"/>
      <c r="D139" s="62"/>
      <c r="E139" s="62"/>
      <c r="F139" s="62"/>
      <c r="G139" s="62"/>
      <c r="H139" s="62"/>
      <c r="I139" s="62"/>
      <c r="J139" s="62"/>
      <c r="K139" s="62"/>
      <c r="L139" s="62"/>
      <c r="M139" s="62"/>
      <c r="N139" s="62"/>
      <c r="O139" s="62"/>
      <c r="P139" s="62"/>
      <c r="Q139" s="62"/>
      <c r="R139" s="62"/>
      <c r="S139" s="62"/>
      <c r="T139" s="62"/>
      <c r="U139" s="62"/>
    </row>
    <row r="140" spans="2:21">
      <c r="B140" s="62"/>
      <c r="C140" s="62"/>
      <c r="D140" s="62"/>
      <c r="E140" s="62"/>
      <c r="F140" s="62"/>
      <c r="G140" s="62"/>
      <c r="H140" s="62"/>
      <c r="I140" s="62"/>
      <c r="J140" s="62"/>
      <c r="K140" s="62"/>
      <c r="L140" s="62"/>
      <c r="M140" s="62"/>
      <c r="N140" s="62"/>
      <c r="O140" s="62"/>
      <c r="P140" s="62"/>
      <c r="Q140" s="62"/>
      <c r="R140" s="62"/>
      <c r="S140" s="62"/>
      <c r="T140" s="62"/>
      <c r="U140" s="62"/>
    </row>
    <row r="141" spans="2:21">
      <c r="B141" s="62"/>
      <c r="C141" s="62"/>
      <c r="D141" s="62"/>
      <c r="E141" s="62"/>
      <c r="F141" s="62"/>
      <c r="G141" s="62"/>
      <c r="H141" s="62"/>
      <c r="I141" s="62"/>
      <c r="J141" s="62"/>
      <c r="K141" s="62"/>
      <c r="L141" s="62"/>
      <c r="M141" s="62"/>
      <c r="N141" s="62"/>
      <c r="O141" s="62"/>
      <c r="P141" s="62"/>
      <c r="Q141" s="62"/>
      <c r="R141" s="62"/>
      <c r="S141" s="62"/>
      <c r="T141" s="62"/>
      <c r="U141" s="62"/>
    </row>
    <row r="142" spans="2:21">
      <c r="B142" s="62"/>
      <c r="C142" s="62"/>
      <c r="D142" s="62"/>
      <c r="E142" s="62"/>
      <c r="F142" s="62"/>
      <c r="G142" s="62"/>
      <c r="H142" s="62"/>
      <c r="I142" s="62"/>
      <c r="J142" s="62"/>
      <c r="K142" s="62"/>
      <c r="L142" s="62"/>
      <c r="M142" s="62"/>
      <c r="N142" s="62"/>
      <c r="O142" s="62"/>
      <c r="P142" s="62"/>
      <c r="Q142" s="62"/>
      <c r="R142" s="62"/>
      <c r="S142" s="62"/>
      <c r="T142" s="62"/>
      <c r="U142" s="62"/>
    </row>
    <row r="143" spans="2:21">
      <c r="B143" s="62"/>
      <c r="C143" s="62"/>
      <c r="D143" s="62"/>
      <c r="E143" s="62"/>
      <c r="F143" s="62"/>
      <c r="G143" s="62"/>
      <c r="H143" s="62"/>
      <c r="I143" s="62"/>
      <c r="J143" s="62"/>
      <c r="K143" s="62"/>
      <c r="L143" s="62"/>
      <c r="M143" s="62"/>
      <c r="N143" s="62"/>
      <c r="O143" s="62"/>
      <c r="P143" s="62"/>
      <c r="Q143" s="62"/>
      <c r="R143" s="62"/>
      <c r="S143" s="62"/>
      <c r="T143" s="62"/>
      <c r="U143" s="62"/>
    </row>
    <row r="144" spans="2:21">
      <c r="B144" s="62"/>
      <c r="C144" s="62"/>
      <c r="D144" s="62"/>
      <c r="E144" s="62"/>
      <c r="F144" s="62"/>
      <c r="G144" s="62"/>
      <c r="H144" s="62"/>
      <c r="I144" s="62"/>
      <c r="J144" s="62"/>
      <c r="K144" s="62"/>
      <c r="L144" s="62"/>
      <c r="M144" s="62"/>
      <c r="N144" s="62"/>
      <c r="O144" s="62"/>
      <c r="P144" s="62"/>
      <c r="Q144" s="62"/>
      <c r="R144" s="62"/>
      <c r="S144" s="62"/>
      <c r="T144" s="62"/>
      <c r="U144" s="62"/>
    </row>
    <row r="145" spans="2:21">
      <c r="B145" s="62"/>
      <c r="C145" s="62"/>
      <c r="D145" s="62"/>
      <c r="E145" s="62"/>
      <c r="F145" s="62"/>
      <c r="G145" s="62"/>
      <c r="H145" s="62"/>
      <c r="I145" s="62"/>
      <c r="J145" s="62"/>
      <c r="K145" s="62"/>
      <c r="L145" s="62"/>
      <c r="M145" s="62"/>
      <c r="N145" s="62"/>
      <c r="O145" s="62"/>
      <c r="P145" s="62"/>
      <c r="Q145" s="62"/>
      <c r="R145" s="62"/>
      <c r="S145" s="62"/>
      <c r="T145" s="62"/>
      <c r="U145" s="62"/>
    </row>
    <row r="146" spans="2:21">
      <c r="B146" s="62"/>
      <c r="C146" s="62"/>
      <c r="D146" s="62"/>
      <c r="E146" s="62"/>
      <c r="F146" s="62"/>
      <c r="G146" s="62"/>
      <c r="H146" s="62"/>
      <c r="I146" s="62"/>
      <c r="J146" s="62"/>
      <c r="K146" s="62"/>
      <c r="L146" s="62"/>
      <c r="M146" s="62"/>
      <c r="N146" s="62"/>
      <c r="O146" s="62"/>
      <c r="P146" s="62"/>
      <c r="Q146" s="62"/>
      <c r="R146" s="62"/>
      <c r="S146" s="62"/>
      <c r="T146" s="62"/>
      <c r="U146" s="62"/>
    </row>
    <row r="147" spans="2:21">
      <c r="B147" s="62"/>
      <c r="C147" s="62"/>
      <c r="D147" s="62"/>
      <c r="E147" s="62"/>
      <c r="F147" s="62"/>
      <c r="G147" s="62"/>
      <c r="H147" s="62"/>
      <c r="I147" s="62"/>
      <c r="J147" s="62"/>
      <c r="K147" s="62"/>
      <c r="L147" s="62"/>
      <c r="M147" s="62"/>
      <c r="N147" s="62"/>
      <c r="O147" s="62"/>
      <c r="P147" s="62"/>
      <c r="Q147" s="62"/>
      <c r="R147" s="62"/>
      <c r="S147" s="62"/>
      <c r="T147" s="62"/>
      <c r="U147" s="62"/>
    </row>
    <row r="148" spans="2:21">
      <c r="B148" s="62"/>
      <c r="C148" s="62"/>
      <c r="D148" s="62"/>
      <c r="E148" s="62"/>
      <c r="F148" s="62"/>
      <c r="G148" s="62"/>
      <c r="H148" s="62"/>
      <c r="I148" s="62"/>
      <c r="J148" s="62"/>
      <c r="K148" s="62"/>
      <c r="L148" s="62"/>
      <c r="M148" s="62"/>
      <c r="N148" s="62"/>
      <c r="O148" s="62"/>
      <c r="P148" s="62"/>
      <c r="Q148" s="62"/>
      <c r="R148" s="62"/>
      <c r="S148" s="62"/>
      <c r="T148" s="62"/>
      <c r="U148" s="62"/>
    </row>
    <row r="149" spans="2:21">
      <c r="B149" s="62"/>
      <c r="C149" s="62"/>
      <c r="D149" s="62"/>
      <c r="E149" s="62"/>
      <c r="F149" s="62"/>
      <c r="G149" s="62"/>
      <c r="H149" s="62"/>
      <c r="I149" s="62"/>
      <c r="J149" s="62"/>
      <c r="K149" s="62"/>
      <c r="L149" s="62"/>
      <c r="M149" s="62"/>
      <c r="N149" s="62"/>
      <c r="O149" s="62"/>
      <c r="P149" s="62"/>
      <c r="Q149" s="62"/>
      <c r="R149" s="62"/>
      <c r="S149" s="62"/>
      <c r="T149" s="62"/>
      <c r="U149" s="62"/>
    </row>
    <row r="150" spans="2:21">
      <c r="B150" s="62"/>
      <c r="C150" s="62"/>
      <c r="D150" s="62"/>
      <c r="E150" s="62"/>
      <c r="F150" s="62"/>
      <c r="G150" s="62"/>
      <c r="H150" s="62"/>
      <c r="I150" s="62"/>
      <c r="J150" s="62"/>
      <c r="K150" s="62"/>
      <c r="L150" s="62"/>
      <c r="M150" s="62"/>
      <c r="N150" s="62"/>
      <c r="O150" s="62"/>
      <c r="P150" s="62"/>
      <c r="Q150" s="62"/>
      <c r="R150" s="62"/>
      <c r="S150" s="62"/>
      <c r="T150" s="62"/>
      <c r="U150" s="62"/>
    </row>
    <row r="151" spans="2:21">
      <c r="B151" s="62"/>
      <c r="C151" s="62"/>
      <c r="D151" s="62"/>
      <c r="E151" s="62"/>
      <c r="F151" s="62"/>
      <c r="G151" s="62"/>
      <c r="H151" s="62"/>
      <c r="I151" s="62"/>
      <c r="J151" s="62"/>
      <c r="K151" s="62"/>
      <c r="L151" s="62"/>
      <c r="M151" s="62"/>
      <c r="N151" s="62"/>
      <c r="O151" s="62"/>
      <c r="P151" s="62"/>
      <c r="Q151" s="62"/>
      <c r="R151" s="62"/>
      <c r="S151" s="62"/>
      <c r="T151" s="62"/>
      <c r="U151" s="62"/>
    </row>
    <row r="152" spans="2:21">
      <c r="B152" s="62"/>
      <c r="C152" s="62"/>
      <c r="D152" s="62"/>
      <c r="E152" s="62"/>
      <c r="F152" s="62"/>
      <c r="G152" s="62"/>
      <c r="H152" s="62"/>
      <c r="I152" s="62"/>
      <c r="J152" s="62"/>
      <c r="K152" s="62"/>
      <c r="L152" s="62"/>
      <c r="M152" s="62"/>
      <c r="N152" s="62"/>
      <c r="O152" s="62"/>
      <c r="P152" s="62"/>
      <c r="Q152" s="62"/>
      <c r="R152" s="62"/>
      <c r="S152" s="62"/>
      <c r="T152" s="62"/>
      <c r="U152" s="62"/>
    </row>
    <row r="153" spans="2:21">
      <c r="B153" s="62"/>
      <c r="C153" s="62"/>
      <c r="D153" s="62"/>
      <c r="E153" s="62"/>
      <c r="F153" s="62"/>
      <c r="G153" s="62"/>
      <c r="H153" s="62"/>
      <c r="I153" s="62"/>
      <c r="J153" s="62"/>
      <c r="K153" s="62"/>
      <c r="L153" s="62"/>
      <c r="M153" s="62"/>
      <c r="N153" s="62"/>
      <c r="O153" s="62"/>
      <c r="P153" s="62"/>
      <c r="Q153" s="62"/>
      <c r="R153" s="62"/>
      <c r="S153" s="62"/>
      <c r="T153" s="62"/>
      <c r="U153" s="62"/>
    </row>
    <row r="154" spans="2:21">
      <c r="B154" s="62"/>
      <c r="C154" s="62"/>
      <c r="D154" s="62"/>
      <c r="E154" s="62"/>
      <c r="F154" s="62"/>
      <c r="G154" s="62"/>
      <c r="H154" s="62"/>
      <c r="I154" s="62"/>
      <c r="J154" s="62"/>
      <c r="K154" s="62"/>
      <c r="L154" s="62"/>
      <c r="M154" s="62"/>
      <c r="N154" s="62"/>
      <c r="O154" s="62"/>
      <c r="P154" s="62"/>
      <c r="Q154" s="62"/>
      <c r="R154" s="62"/>
      <c r="S154" s="62"/>
      <c r="T154" s="62"/>
      <c r="U154" s="62"/>
    </row>
    <row r="155" spans="2:21">
      <c r="B155" s="62"/>
      <c r="C155" s="62"/>
      <c r="D155" s="62"/>
      <c r="E155" s="62"/>
      <c r="F155" s="62"/>
      <c r="G155" s="62"/>
      <c r="H155" s="62"/>
      <c r="I155" s="62"/>
      <c r="J155" s="62"/>
      <c r="K155" s="62"/>
      <c r="L155" s="62"/>
      <c r="M155" s="62"/>
      <c r="N155" s="62"/>
      <c r="O155" s="62"/>
      <c r="P155" s="62"/>
      <c r="Q155" s="62"/>
      <c r="R155" s="62"/>
      <c r="S155" s="62"/>
      <c r="T155" s="62"/>
      <c r="U155" s="62"/>
    </row>
    <row r="156" spans="2:21">
      <c r="B156" s="62"/>
      <c r="C156" s="62"/>
      <c r="D156" s="62"/>
      <c r="E156" s="62"/>
      <c r="F156" s="62"/>
      <c r="G156" s="62"/>
      <c r="H156" s="62"/>
      <c r="I156" s="62"/>
      <c r="J156" s="62"/>
      <c r="K156" s="62"/>
      <c r="L156" s="62"/>
      <c r="M156" s="62"/>
      <c r="N156" s="62"/>
      <c r="O156" s="62"/>
      <c r="P156" s="62"/>
      <c r="Q156" s="62"/>
      <c r="R156" s="62"/>
      <c r="S156" s="62"/>
      <c r="T156" s="62"/>
      <c r="U156" s="62"/>
    </row>
    <row r="157" spans="2:21">
      <c r="B157" s="62"/>
      <c r="C157" s="62"/>
      <c r="D157" s="62"/>
      <c r="E157" s="62"/>
      <c r="F157" s="62"/>
      <c r="G157" s="62"/>
      <c r="H157" s="62"/>
      <c r="I157" s="62"/>
      <c r="J157" s="62"/>
      <c r="K157" s="62"/>
      <c r="L157" s="62"/>
      <c r="M157" s="62"/>
      <c r="N157" s="62"/>
      <c r="O157" s="62"/>
      <c r="P157" s="62"/>
      <c r="Q157" s="62"/>
      <c r="R157" s="62"/>
      <c r="S157" s="62"/>
      <c r="T157" s="62"/>
      <c r="U157" s="62"/>
    </row>
    <row r="158" spans="2:21">
      <c r="B158" s="62"/>
      <c r="C158" s="62"/>
      <c r="D158" s="62"/>
      <c r="E158" s="62"/>
      <c r="F158" s="62"/>
      <c r="G158" s="62"/>
      <c r="H158" s="62"/>
      <c r="I158" s="62"/>
      <c r="J158" s="62"/>
      <c r="K158" s="62"/>
      <c r="L158" s="62"/>
      <c r="M158" s="62"/>
      <c r="N158" s="62"/>
      <c r="O158" s="62"/>
      <c r="P158" s="62"/>
      <c r="Q158" s="62"/>
      <c r="R158" s="62"/>
      <c r="S158" s="62"/>
      <c r="T158" s="62"/>
      <c r="U158" s="62"/>
    </row>
    <row r="159" spans="2:21">
      <c r="B159" s="62"/>
      <c r="C159" s="62"/>
      <c r="D159" s="62"/>
      <c r="E159" s="62"/>
      <c r="F159" s="62"/>
      <c r="G159" s="62"/>
      <c r="H159" s="62"/>
      <c r="I159" s="62"/>
      <c r="J159" s="62"/>
      <c r="K159" s="62"/>
      <c r="L159" s="62"/>
      <c r="M159" s="62"/>
      <c r="N159" s="62"/>
      <c r="O159" s="62"/>
      <c r="P159" s="62"/>
      <c r="Q159" s="62"/>
      <c r="R159" s="62"/>
      <c r="S159" s="62"/>
      <c r="T159" s="62"/>
      <c r="U159" s="62"/>
    </row>
    <row r="160" spans="2:21">
      <c r="B160" s="62"/>
      <c r="C160" s="62"/>
      <c r="D160" s="62"/>
      <c r="E160" s="62"/>
      <c r="F160" s="62"/>
      <c r="G160" s="62"/>
      <c r="H160" s="62"/>
      <c r="I160" s="62"/>
      <c r="J160" s="62"/>
      <c r="K160" s="62"/>
      <c r="L160" s="62"/>
      <c r="M160" s="62"/>
      <c r="N160" s="62"/>
      <c r="O160" s="62"/>
      <c r="P160" s="62"/>
      <c r="Q160" s="62"/>
      <c r="R160" s="62"/>
      <c r="S160" s="62"/>
      <c r="T160" s="62"/>
      <c r="U160" s="62"/>
    </row>
    <row r="161" spans="2:21">
      <c r="B161" s="62"/>
      <c r="C161" s="62"/>
      <c r="D161" s="62"/>
      <c r="E161" s="62"/>
      <c r="F161" s="62"/>
      <c r="G161" s="62"/>
      <c r="H161" s="62"/>
      <c r="I161" s="62"/>
      <c r="J161" s="62"/>
      <c r="K161" s="62"/>
      <c r="L161" s="62"/>
      <c r="M161" s="62"/>
      <c r="N161" s="62"/>
      <c r="O161" s="62"/>
      <c r="P161" s="62"/>
      <c r="Q161" s="62"/>
      <c r="R161" s="62"/>
      <c r="S161" s="62"/>
      <c r="T161" s="62"/>
      <c r="U161" s="62"/>
    </row>
    <row r="162" spans="2:21">
      <c r="B162" s="62"/>
      <c r="C162" s="62"/>
      <c r="D162" s="62"/>
      <c r="E162" s="62"/>
      <c r="F162" s="62"/>
      <c r="G162" s="62"/>
      <c r="H162" s="62"/>
      <c r="I162" s="62"/>
      <c r="J162" s="62"/>
      <c r="K162" s="62"/>
      <c r="L162" s="62"/>
      <c r="M162" s="62"/>
      <c r="N162" s="62"/>
      <c r="O162" s="62"/>
      <c r="P162" s="62"/>
      <c r="Q162" s="62"/>
      <c r="R162" s="62"/>
      <c r="S162" s="62"/>
      <c r="T162" s="62"/>
      <c r="U162" s="62"/>
    </row>
    <row r="163" spans="2:21">
      <c r="B163" s="62"/>
      <c r="C163" s="62"/>
      <c r="D163" s="62"/>
      <c r="E163" s="62"/>
      <c r="F163" s="62"/>
      <c r="G163" s="62"/>
      <c r="H163" s="62"/>
      <c r="I163" s="62"/>
      <c r="J163" s="62"/>
      <c r="K163" s="62"/>
      <c r="L163" s="62"/>
      <c r="M163" s="62"/>
      <c r="N163" s="62"/>
      <c r="O163" s="62"/>
      <c r="P163" s="62"/>
      <c r="Q163" s="62"/>
      <c r="R163" s="62"/>
      <c r="S163" s="62"/>
      <c r="T163" s="62"/>
      <c r="U163" s="62"/>
    </row>
    <row r="164" spans="2:21">
      <c r="B164" s="62"/>
      <c r="C164" s="62"/>
      <c r="D164" s="62"/>
      <c r="E164" s="62"/>
      <c r="F164" s="62"/>
      <c r="G164" s="62"/>
      <c r="H164" s="62"/>
      <c r="I164" s="62"/>
      <c r="J164" s="62"/>
      <c r="K164" s="62"/>
      <c r="L164" s="62"/>
      <c r="M164" s="62"/>
      <c r="N164" s="62"/>
      <c r="O164" s="62"/>
      <c r="P164" s="62"/>
      <c r="Q164" s="62"/>
      <c r="R164" s="62"/>
      <c r="S164" s="62"/>
      <c r="T164" s="62"/>
      <c r="U164" s="62"/>
    </row>
    <row r="165" spans="2:21">
      <c r="B165" s="62"/>
      <c r="C165" s="62"/>
      <c r="D165" s="62"/>
      <c r="E165" s="62"/>
      <c r="F165" s="62"/>
      <c r="G165" s="62"/>
      <c r="H165" s="62"/>
      <c r="I165" s="62"/>
      <c r="J165" s="62"/>
      <c r="K165" s="62"/>
      <c r="L165" s="62"/>
      <c r="M165" s="62"/>
      <c r="N165" s="62"/>
      <c r="O165" s="62"/>
      <c r="P165" s="62"/>
      <c r="Q165" s="62"/>
      <c r="R165" s="62"/>
      <c r="S165" s="62"/>
      <c r="T165" s="62"/>
      <c r="U165" s="62"/>
    </row>
    <row r="166" spans="2:21">
      <c r="B166" s="62"/>
      <c r="C166" s="62"/>
      <c r="D166" s="62"/>
      <c r="E166" s="62"/>
      <c r="F166" s="62"/>
      <c r="G166" s="62"/>
      <c r="H166" s="62"/>
      <c r="I166" s="62"/>
      <c r="J166" s="62"/>
      <c r="K166" s="62"/>
      <c r="L166" s="62"/>
      <c r="M166" s="62"/>
      <c r="N166" s="62"/>
      <c r="O166" s="62"/>
      <c r="P166" s="62"/>
      <c r="Q166" s="62"/>
      <c r="R166" s="62"/>
      <c r="S166" s="62"/>
      <c r="T166" s="62"/>
      <c r="U166" s="62"/>
    </row>
    <row r="167" spans="2:21">
      <c r="B167" s="62"/>
      <c r="C167" s="62"/>
      <c r="D167" s="62"/>
      <c r="E167" s="62"/>
      <c r="F167" s="62"/>
      <c r="G167" s="62"/>
      <c r="H167" s="62"/>
      <c r="I167" s="62"/>
      <c r="J167" s="62"/>
      <c r="K167" s="62"/>
      <c r="L167" s="62"/>
      <c r="M167" s="62"/>
      <c r="N167" s="62"/>
      <c r="O167" s="62"/>
      <c r="P167" s="62"/>
      <c r="Q167" s="62"/>
      <c r="R167" s="62"/>
      <c r="S167" s="62"/>
      <c r="T167" s="62"/>
      <c r="U167" s="62"/>
    </row>
    <row r="168" spans="2:21">
      <c r="B168" s="62"/>
      <c r="C168" s="62"/>
      <c r="D168" s="62"/>
      <c r="E168" s="62"/>
      <c r="F168" s="62"/>
      <c r="G168" s="62"/>
      <c r="H168" s="62"/>
      <c r="I168" s="62"/>
      <c r="J168" s="62"/>
      <c r="K168" s="62"/>
      <c r="L168" s="62"/>
      <c r="M168" s="62"/>
      <c r="N168" s="62"/>
      <c r="O168" s="62"/>
      <c r="P168" s="62"/>
      <c r="Q168" s="62"/>
      <c r="R168" s="62"/>
      <c r="S168" s="62"/>
      <c r="T168" s="62"/>
      <c r="U168" s="62"/>
    </row>
    <row r="169" spans="2:21">
      <c r="B169" s="62"/>
      <c r="C169" s="62"/>
      <c r="D169" s="62"/>
      <c r="E169" s="62"/>
      <c r="F169" s="62"/>
      <c r="G169" s="62"/>
      <c r="H169" s="62"/>
      <c r="I169" s="62"/>
      <c r="J169" s="62"/>
      <c r="K169" s="62"/>
      <c r="L169" s="62"/>
      <c r="M169" s="62"/>
      <c r="N169" s="62"/>
      <c r="O169" s="62"/>
      <c r="P169" s="62"/>
      <c r="Q169" s="62"/>
      <c r="R169" s="62"/>
      <c r="S169" s="62"/>
      <c r="T169" s="62"/>
      <c r="U169" s="62"/>
    </row>
    <row r="170" spans="2:21">
      <c r="B170" s="62"/>
      <c r="C170" s="62"/>
      <c r="D170" s="62"/>
      <c r="E170" s="62"/>
      <c r="F170" s="62"/>
      <c r="G170" s="62"/>
      <c r="H170" s="62"/>
      <c r="I170" s="62"/>
      <c r="J170" s="62"/>
      <c r="K170" s="62"/>
      <c r="L170" s="62"/>
      <c r="M170" s="62"/>
      <c r="N170" s="62"/>
      <c r="O170" s="62"/>
      <c r="P170" s="62"/>
      <c r="Q170" s="62"/>
      <c r="R170" s="62"/>
      <c r="S170" s="62"/>
      <c r="T170" s="62"/>
      <c r="U170" s="62"/>
    </row>
    <row r="171" spans="2:21">
      <c r="B171" s="62"/>
      <c r="C171" s="62"/>
      <c r="D171" s="62"/>
      <c r="E171" s="62"/>
      <c r="F171" s="62"/>
      <c r="G171" s="62"/>
      <c r="H171" s="62"/>
      <c r="I171" s="62"/>
      <c r="J171" s="62"/>
      <c r="K171" s="62"/>
      <c r="L171" s="62"/>
      <c r="M171" s="62"/>
      <c r="N171" s="62"/>
      <c r="O171" s="62"/>
      <c r="P171" s="62"/>
      <c r="Q171" s="62"/>
      <c r="R171" s="62"/>
      <c r="S171" s="62"/>
      <c r="T171" s="62"/>
      <c r="U171" s="62"/>
    </row>
    <row r="172" spans="2:21">
      <c r="B172" s="62"/>
      <c r="C172" s="62"/>
      <c r="D172" s="62"/>
      <c r="E172" s="62"/>
      <c r="F172" s="62"/>
      <c r="G172" s="62"/>
      <c r="H172" s="62"/>
      <c r="I172" s="62"/>
      <c r="J172" s="62"/>
      <c r="K172" s="62"/>
      <c r="L172" s="62"/>
      <c r="M172" s="62"/>
      <c r="N172" s="62"/>
      <c r="O172" s="62"/>
      <c r="P172" s="62"/>
      <c r="Q172" s="62"/>
      <c r="R172" s="62"/>
      <c r="S172" s="62"/>
      <c r="T172" s="62"/>
      <c r="U172" s="62"/>
    </row>
    <row r="173" spans="2:21">
      <c r="B173" s="62"/>
      <c r="C173" s="62"/>
      <c r="D173" s="62"/>
      <c r="E173" s="62"/>
      <c r="F173" s="62"/>
      <c r="G173" s="62"/>
      <c r="H173" s="62"/>
      <c r="I173" s="62"/>
      <c r="J173" s="62"/>
      <c r="K173" s="62"/>
      <c r="L173" s="62"/>
      <c r="M173" s="62"/>
      <c r="N173" s="62"/>
      <c r="O173" s="62"/>
      <c r="P173" s="62"/>
      <c r="Q173" s="62"/>
      <c r="R173" s="62"/>
      <c r="S173" s="62"/>
      <c r="T173" s="62"/>
      <c r="U173" s="62"/>
    </row>
    <row r="174" spans="2:21">
      <c r="B174" s="62"/>
      <c r="C174" s="62"/>
      <c r="D174" s="62"/>
      <c r="E174" s="62"/>
      <c r="F174" s="62"/>
      <c r="G174" s="62"/>
      <c r="H174" s="62"/>
      <c r="I174" s="62"/>
      <c r="J174" s="62"/>
      <c r="K174" s="62"/>
      <c r="L174" s="62"/>
      <c r="M174" s="62"/>
      <c r="N174" s="62"/>
      <c r="O174" s="62"/>
      <c r="P174" s="62"/>
      <c r="Q174" s="62"/>
      <c r="R174" s="62"/>
      <c r="S174" s="62"/>
      <c r="T174" s="62"/>
      <c r="U174" s="62"/>
    </row>
    <row r="175" spans="2:21">
      <c r="B175" s="62"/>
      <c r="C175" s="62"/>
      <c r="D175" s="62"/>
      <c r="E175" s="62"/>
      <c r="F175" s="62"/>
      <c r="G175" s="62"/>
      <c r="H175" s="62"/>
      <c r="I175" s="62"/>
      <c r="J175" s="62"/>
      <c r="K175" s="62"/>
      <c r="L175" s="62"/>
      <c r="M175" s="62"/>
      <c r="N175" s="62"/>
      <c r="O175" s="62"/>
      <c r="P175" s="62"/>
      <c r="Q175" s="62"/>
      <c r="R175" s="62"/>
      <c r="S175" s="62"/>
      <c r="T175" s="62"/>
      <c r="U175" s="62"/>
    </row>
    <row r="176" spans="2:21">
      <c r="B176" s="62"/>
      <c r="C176" s="62"/>
      <c r="D176" s="62"/>
      <c r="E176" s="62"/>
      <c r="F176" s="62"/>
      <c r="G176" s="62"/>
      <c r="H176" s="62"/>
      <c r="I176" s="62"/>
      <c r="J176" s="62"/>
      <c r="K176" s="62"/>
      <c r="L176" s="62"/>
      <c r="M176" s="62"/>
      <c r="N176" s="62"/>
      <c r="O176" s="62"/>
      <c r="P176" s="62"/>
      <c r="Q176" s="62"/>
      <c r="R176" s="62"/>
      <c r="S176" s="62"/>
      <c r="T176" s="62"/>
      <c r="U176" s="62"/>
    </row>
    <row r="177" spans="2:21">
      <c r="B177" s="62"/>
      <c r="C177" s="62"/>
      <c r="D177" s="62"/>
      <c r="E177" s="62"/>
      <c r="F177" s="62"/>
      <c r="G177" s="62"/>
      <c r="H177" s="62"/>
      <c r="I177" s="62"/>
      <c r="J177" s="62"/>
      <c r="K177" s="62"/>
      <c r="L177" s="62"/>
      <c r="M177" s="62"/>
      <c r="N177" s="62"/>
      <c r="O177" s="62"/>
      <c r="P177" s="62"/>
      <c r="Q177" s="62"/>
      <c r="R177" s="62"/>
      <c r="S177" s="62"/>
      <c r="T177" s="62"/>
      <c r="U177" s="62"/>
    </row>
    <row r="178" spans="2:21">
      <c r="B178" s="62"/>
      <c r="C178" s="62"/>
      <c r="D178" s="62"/>
      <c r="E178" s="62"/>
      <c r="F178" s="62"/>
      <c r="G178" s="62"/>
      <c r="H178" s="62"/>
      <c r="I178" s="62"/>
      <c r="J178" s="62"/>
      <c r="K178" s="62"/>
      <c r="L178" s="62"/>
      <c r="M178" s="62"/>
      <c r="N178" s="62"/>
      <c r="O178" s="62"/>
      <c r="P178" s="62"/>
      <c r="Q178" s="62"/>
      <c r="R178" s="62"/>
      <c r="S178" s="62"/>
      <c r="T178" s="62"/>
      <c r="U178" s="62"/>
    </row>
    <row r="179" spans="2:21">
      <c r="B179" s="62"/>
      <c r="C179" s="62"/>
      <c r="D179" s="62"/>
      <c r="E179" s="62"/>
      <c r="F179" s="62"/>
      <c r="G179" s="62"/>
      <c r="H179" s="62"/>
      <c r="I179" s="62"/>
      <c r="J179" s="62"/>
      <c r="K179" s="62"/>
      <c r="L179" s="62"/>
      <c r="M179" s="62"/>
      <c r="N179" s="62"/>
      <c r="O179" s="62"/>
      <c r="P179" s="62"/>
      <c r="Q179" s="62"/>
      <c r="R179" s="62"/>
      <c r="S179" s="62"/>
      <c r="T179" s="62"/>
      <c r="U179" s="62"/>
    </row>
    <row r="180" spans="2:21">
      <c r="B180" s="62"/>
      <c r="C180" s="62"/>
      <c r="D180" s="62"/>
      <c r="E180" s="62"/>
      <c r="F180" s="62"/>
      <c r="G180" s="62"/>
      <c r="H180" s="62"/>
      <c r="I180" s="62"/>
      <c r="J180" s="62"/>
      <c r="K180" s="62"/>
      <c r="L180" s="62"/>
      <c r="M180" s="62"/>
      <c r="N180" s="62"/>
      <c r="O180" s="62"/>
      <c r="P180" s="62"/>
      <c r="Q180" s="62"/>
      <c r="R180" s="62"/>
      <c r="S180" s="62"/>
      <c r="T180" s="62"/>
      <c r="U180" s="62"/>
    </row>
    <row r="181" spans="2:21">
      <c r="B181" s="62"/>
      <c r="C181" s="62"/>
      <c r="D181" s="62"/>
      <c r="E181" s="62"/>
      <c r="F181" s="62"/>
      <c r="G181" s="62"/>
      <c r="H181" s="62"/>
      <c r="I181" s="62"/>
      <c r="J181" s="62"/>
      <c r="K181" s="62"/>
      <c r="L181" s="62"/>
      <c r="M181" s="62"/>
      <c r="N181" s="62"/>
      <c r="O181" s="62"/>
      <c r="P181" s="62"/>
      <c r="Q181" s="62"/>
      <c r="R181" s="62"/>
      <c r="S181" s="62"/>
      <c r="T181" s="62"/>
      <c r="U181" s="62"/>
    </row>
    <row r="182" spans="2:21">
      <c r="B182" s="62"/>
      <c r="C182" s="62"/>
      <c r="D182" s="62"/>
      <c r="E182" s="62"/>
      <c r="F182" s="62"/>
      <c r="G182" s="62"/>
      <c r="H182" s="62"/>
      <c r="I182" s="62"/>
      <c r="J182" s="62"/>
      <c r="K182" s="62"/>
      <c r="L182" s="62"/>
      <c r="M182" s="62"/>
      <c r="N182" s="62"/>
      <c r="O182" s="62"/>
      <c r="P182" s="62"/>
      <c r="Q182" s="62"/>
      <c r="R182" s="62"/>
      <c r="S182" s="62"/>
      <c r="T182" s="62"/>
      <c r="U182" s="62"/>
    </row>
    <row r="183" spans="2:21">
      <c r="B183" s="62"/>
      <c r="C183" s="62"/>
      <c r="D183" s="62"/>
      <c r="E183" s="62"/>
      <c r="F183" s="62"/>
      <c r="G183" s="62"/>
      <c r="H183" s="62"/>
      <c r="I183" s="62"/>
      <c r="J183" s="62"/>
      <c r="K183" s="62"/>
      <c r="L183" s="62"/>
      <c r="M183" s="62"/>
      <c r="N183" s="62"/>
      <c r="O183" s="62"/>
      <c r="P183" s="62"/>
      <c r="Q183" s="62"/>
      <c r="R183" s="62"/>
      <c r="S183" s="62"/>
      <c r="T183" s="62"/>
      <c r="U183" s="62"/>
    </row>
    <row r="184" spans="2:21">
      <c r="B184" s="62"/>
      <c r="C184" s="62"/>
      <c r="D184" s="62"/>
      <c r="E184" s="62"/>
      <c r="F184" s="62"/>
      <c r="G184" s="62"/>
      <c r="H184" s="62"/>
      <c r="I184" s="62"/>
      <c r="J184" s="62"/>
      <c r="K184" s="62"/>
      <c r="L184" s="62"/>
      <c r="M184" s="62"/>
      <c r="N184" s="62"/>
      <c r="O184" s="62"/>
      <c r="P184" s="62"/>
      <c r="Q184" s="62"/>
      <c r="R184" s="62"/>
      <c r="S184" s="62"/>
      <c r="T184" s="62"/>
      <c r="U184" s="62"/>
    </row>
    <row r="185" spans="2:21">
      <c r="B185" s="62"/>
      <c r="C185" s="62"/>
      <c r="D185" s="62"/>
      <c r="E185" s="62"/>
      <c r="F185" s="62"/>
      <c r="G185" s="62"/>
      <c r="H185" s="62"/>
      <c r="I185" s="62"/>
      <c r="J185" s="62"/>
      <c r="K185" s="62"/>
      <c r="L185" s="62"/>
      <c r="M185" s="62"/>
      <c r="N185" s="62"/>
      <c r="O185" s="62"/>
      <c r="P185" s="62"/>
      <c r="Q185" s="62"/>
      <c r="R185" s="62"/>
      <c r="S185" s="62"/>
      <c r="T185" s="62"/>
      <c r="U185" s="62"/>
    </row>
    <row r="186" spans="2:21">
      <c r="B186" s="62"/>
      <c r="C186" s="62"/>
      <c r="D186" s="62"/>
      <c r="E186" s="62"/>
      <c r="F186" s="62"/>
      <c r="G186" s="62"/>
      <c r="H186" s="62"/>
      <c r="I186" s="62"/>
      <c r="J186" s="62"/>
      <c r="K186" s="62"/>
      <c r="L186" s="62"/>
      <c r="M186" s="62"/>
      <c r="N186" s="62"/>
      <c r="O186" s="62"/>
      <c r="P186" s="62"/>
      <c r="Q186" s="62"/>
      <c r="R186" s="62"/>
      <c r="S186" s="62"/>
      <c r="T186" s="62"/>
      <c r="U186" s="62"/>
    </row>
    <row r="187" spans="2:21">
      <c r="B187" s="62"/>
      <c r="C187" s="62"/>
      <c r="D187" s="62"/>
      <c r="E187" s="62"/>
      <c r="F187" s="62"/>
      <c r="G187" s="62"/>
      <c r="H187" s="62"/>
      <c r="I187" s="62"/>
      <c r="J187" s="62"/>
      <c r="K187" s="62"/>
      <c r="L187" s="62"/>
      <c r="M187" s="62"/>
      <c r="N187" s="62"/>
      <c r="O187" s="62"/>
      <c r="P187" s="62"/>
      <c r="Q187" s="62"/>
      <c r="R187" s="62"/>
      <c r="S187" s="62"/>
      <c r="T187" s="62"/>
      <c r="U187" s="62"/>
    </row>
    <row r="188" spans="2:21">
      <c r="B188" s="62"/>
      <c r="C188" s="62"/>
      <c r="D188" s="62"/>
      <c r="E188" s="62"/>
      <c r="F188" s="62"/>
      <c r="G188" s="62"/>
      <c r="H188" s="62"/>
      <c r="I188" s="62"/>
      <c r="J188" s="62"/>
      <c r="K188" s="62"/>
      <c r="L188" s="62"/>
      <c r="M188" s="62"/>
      <c r="N188" s="62"/>
      <c r="O188" s="62"/>
      <c r="P188" s="62"/>
      <c r="Q188" s="62"/>
      <c r="R188" s="62"/>
      <c r="S188" s="62"/>
      <c r="T188" s="62"/>
      <c r="U188" s="62"/>
    </row>
    <row r="189" spans="2:21">
      <c r="B189" s="62"/>
      <c r="C189" s="62"/>
      <c r="D189" s="62"/>
      <c r="E189" s="62"/>
      <c r="F189" s="62"/>
      <c r="G189" s="62"/>
      <c r="H189" s="62"/>
      <c r="I189" s="62"/>
      <c r="J189" s="62"/>
      <c r="K189" s="62"/>
      <c r="L189" s="62"/>
      <c r="M189" s="62"/>
      <c r="N189" s="62"/>
      <c r="O189" s="62"/>
      <c r="P189" s="62"/>
      <c r="Q189" s="62"/>
      <c r="R189" s="62"/>
      <c r="S189" s="62"/>
      <c r="T189" s="62"/>
      <c r="U189" s="62"/>
    </row>
    <row r="190" spans="2:21">
      <c r="B190" s="62"/>
      <c r="C190" s="62"/>
      <c r="D190" s="62"/>
      <c r="E190" s="62"/>
      <c r="F190" s="62"/>
      <c r="G190" s="62"/>
      <c r="H190" s="62"/>
      <c r="I190" s="62"/>
      <c r="J190" s="62"/>
      <c r="K190" s="62"/>
      <c r="L190" s="62"/>
      <c r="M190" s="62"/>
      <c r="N190" s="62"/>
      <c r="O190" s="62"/>
      <c r="P190" s="62"/>
      <c r="Q190" s="62"/>
      <c r="R190" s="62"/>
      <c r="S190" s="62"/>
      <c r="T190" s="62"/>
      <c r="U190" s="62"/>
    </row>
    <row r="191" spans="2:21">
      <c r="B191" s="62"/>
      <c r="C191" s="62"/>
      <c r="D191" s="62"/>
      <c r="E191" s="62"/>
      <c r="F191" s="62"/>
      <c r="G191" s="62"/>
      <c r="H191" s="62"/>
      <c r="I191" s="62"/>
      <c r="J191" s="62"/>
      <c r="K191" s="62"/>
      <c r="L191" s="62"/>
      <c r="M191" s="62"/>
      <c r="N191" s="62"/>
      <c r="O191" s="62"/>
      <c r="P191" s="62"/>
      <c r="Q191" s="62"/>
      <c r="R191" s="62"/>
      <c r="S191" s="62"/>
      <c r="T191" s="62"/>
      <c r="U191" s="62"/>
    </row>
    <row r="192" spans="2:21">
      <c r="B192" s="62"/>
      <c r="C192" s="62"/>
      <c r="D192" s="62"/>
      <c r="E192" s="62"/>
      <c r="F192" s="62"/>
      <c r="G192" s="62"/>
      <c r="H192" s="62"/>
      <c r="I192" s="62"/>
      <c r="J192" s="62"/>
      <c r="K192" s="62"/>
      <c r="L192" s="62"/>
      <c r="M192" s="62"/>
      <c r="N192" s="62"/>
      <c r="O192" s="62"/>
      <c r="P192" s="62"/>
      <c r="Q192" s="62"/>
      <c r="R192" s="62"/>
      <c r="S192" s="62"/>
      <c r="T192" s="62"/>
      <c r="U192" s="62"/>
    </row>
    <row r="193" spans="2:21">
      <c r="B193" s="62"/>
      <c r="C193" s="62"/>
      <c r="D193" s="62"/>
      <c r="E193" s="62"/>
      <c r="F193" s="62"/>
      <c r="G193" s="62"/>
      <c r="H193" s="62"/>
      <c r="I193" s="62"/>
      <c r="J193" s="62"/>
      <c r="K193" s="62"/>
      <c r="L193" s="62"/>
      <c r="M193" s="62"/>
      <c r="N193" s="62"/>
      <c r="O193" s="62"/>
      <c r="P193" s="62"/>
      <c r="Q193" s="62"/>
      <c r="R193" s="62"/>
      <c r="S193" s="62"/>
      <c r="T193" s="62"/>
      <c r="U193" s="62"/>
    </row>
    <row r="194" spans="2:21">
      <c r="B194" s="62"/>
      <c r="C194" s="62"/>
      <c r="D194" s="62"/>
      <c r="E194" s="62"/>
      <c r="F194" s="62"/>
      <c r="G194" s="62"/>
      <c r="H194" s="62"/>
      <c r="I194" s="62"/>
      <c r="J194" s="62"/>
      <c r="K194" s="62"/>
      <c r="L194" s="62"/>
      <c r="M194" s="62"/>
      <c r="N194" s="62"/>
      <c r="O194" s="62"/>
      <c r="P194" s="62"/>
      <c r="Q194" s="62"/>
      <c r="R194" s="62"/>
      <c r="S194" s="62"/>
      <c r="T194" s="62"/>
      <c r="U194" s="62"/>
    </row>
    <row r="195" spans="2:21">
      <c r="B195" s="62"/>
      <c r="C195" s="62"/>
      <c r="D195" s="62"/>
      <c r="E195" s="62"/>
      <c r="F195" s="62"/>
      <c r="G195" s="62"/>
      <c r="H195" s="62"/>
      <c r="I195" s="62"/>
      <c r="J195" s="62"/>
      <c r="K195" s="62"/>
      <c r="L195" s="62"/>
      <c r="M195" s="62"/>
      <c r="N195" s="62"/>
      <c r="O195" s="62"/>
      <c r="P195" s="62"/>
      <c r="Q195" s="62"/>
      <c r="R195" s="62"/>
      <c r="S195" s="62"/>
      <c r="T195" s="62"/>
      <c r="U195" s="62"/>
    </row>
    <row r="196" spans="2:21">
      <c r="B196" s="62"/>
      <c r="C196" s="62"/>
      <c r="D196" s="62"/>
      <c r="E196" s="62"/>
      <c r="F196" s="62"/>
      <c r="G196" s="62"/>
      <c r="H196" s="62"/>
      <c r="I196" s="62"/>
      <c r="J196" s="62"/>
      <c r="K196" s="62"/>
      <c r="L196" s="62"/>
      <c r="M196" s="62"/>
      <c r="N196" s="62"/>
      <c r="O196" s="62"/>
      <c r="P196" s="62"/>
      <c r="Q196" s="62"/>
      <c r="R196" s="62"/>
      <c r="S196" s="62"/>
      <c r="T196" s="62"/>
      <c r="U196" s="62"/>
    </row>
    <row r="197" spans="2:21">
      <c r="B197" s="62"/>
      <c r="C197" s="62"/>
      <c r="D197" s="62"/>
      <c r="E197" s="62"/>
      <c r="F197" s="62"/>
      <c r="G197" s="62"/>
      <c r="H197" s="62"/>
      <c r="I197" s="62"/>
      <c r="J197" s="62"/>
      <c r="K197" s="62"/>
      <c r="L197" s="62"/>
      <c r="M197" s="62"/>
      <c r="N197" s="62"/>
      <c r="O197" s="62"/>
      <c r="P197" s="62"/>
      <c r="Q197" s="62"/>
      <c r="R197" s="62"/>
      <c r="S197" s="62"/>
      <c r="T197" s="62"/>
      <c r="U197" s="62"/>
    </row>
    <row r="198" spans="2:21">
      <c r="B198" s="62"/>
      <c r="C198" s="62"/>
      <c r="D198" s="62"/>
      <c r="E198" s="62"/>
      <c r="F198" s="62"/>
      <c r="G198" s="62"/>
      <c r="H198" s="62"/>
      <c r="I198" s="62"/>
      <c r="J198" s="62"/>
      <c r="K198" s="62"/>
      <c r="L198" s="62"/>
      <c r="M198" s="62"/>
      <c r="N198" s="62"/>
      <c r="O198" s="62"/>
      <c r="P198" s="62"/>
      <c r="Q198" s="62"/>
      <c r="R198" s="62"/>
      <c r="S198" s="62"/>
      <c r="T198" s="62"/>
      <c r="U198" s="62"/>
    </row>
    <row r="199" spans="2:21">
      <c r="B199" s="62"/>
      <c r="C199" s="62"/>
      <c r="D199" s="62"/>
      <c r="E199" s="62"/>
      <c r="F199" s="62"/>
      <c r="G199" s="62"/>
      <c r="H199" s="62"/>
      <c r="I199" s="62"/>
      <c r="J199" s="62"/>
      <c r="K199" s="62"/>
      <c r="L199" s="62"/>
      <c r="M199" s="62"/>
      <c r="N199" s="62"/>
      <c r="O199" s="62"/>
      <c r="P199" s="62"/>
      <c r="Q199" s="62"/>
      <c r="R199" s="62"/>
      <c r="S199" s="62"/>
      <c r="T199" s="62"/>
      <c r="U199" s="62"/>
    </row>
    <row r="200" spans="2:21">
      <c r="B200" s="62"/>
      <c r="C200" s="62"/>
      <c r="D200" s="62"/>
      <c r="E200" s="62"/>
      <c r="F200" s="62"/>
      <c r="G200" s="62"/>
      <c r="H200" s="62"/>
      <c r="I200" s="62"/>
      <c r="J200" s="62"/>
      <c r="K200" s="62"/>
      <c r="L200" s="62"/>
      <c r="M200" s="62"/>
      <c r="N200" s="62"/>
      <c r="O200" s="62"/>
      <c r="P200" s="62"/>
      <c r="Q200" s="62"/>
      <c r="R200" s="62"/>
      <c r="S200" s="62"/>
      <c r="T200" s="62"/>
      <c r="U200" s="62"/>
    </row>
    <row r="201" spans="2:21">
      <c r="B201" s="62"/>
      <c r="C201" s="62"/>
      <c r="D201" s="62"/>
      <c r="E201" s="62"/>
      <c r="F201" s="62"/>
      <c r="G201" s="62"/>
      <c r="H201" s="62"/>
      <c r="I201" s="62"/>
      <c r="J201" s="62"/>
      <c r="K201" s="62"/>
      <c r="L201" s="62"/>
      <c r="M201" s="62"/>
      <c r="N201" s="62"/>
      <c r="O201" s="62"/>
      <c r="P201" s="62"/>
      <c r="Q201" s="62"/>
      <c r="R201" s="62"/>
      <c r="S201" s="62"/>
      <c r="T201" s="62"/>
      <c r="U201" s="62"/>
    </row>
    <row r="202" spans="2:21">
      <c r="B202" s="62"/>
      <c r="C202" s="62"/>
      <c r="D202" s="62"/>
      <c r="E202" s="62"/>
      <c r="F202" s="62"/>
      <c r="G202" s="62"/>
      <c r="H202" s="62"/>
      <c r="I202" s="62"/>
      <c r="J202" s="62"/>
      <c r="K202" s="62"/>
      <c r="L202" s="62"/>
      <c r="M202" s="62"/>
      <c r="N202" s="62"/>
      <c r="O202" s="62"/>
      <c r="P202" s="62"/>
      <c r="Q202" s="62"/>
      <c r="R202" s="62"/>
      <c r="S202" s="62"/>
      <c r="T202" s="62"/>
      <c r="U202" s="62"/>
    </row>
    <row r="203" spans="2:21">
      <c r="B203" s="62"/>
      <c r="C203" s="62"/>
      <c r="D203" s="62"/>
      <c r="E203" s="62"/>
      <c r="F203" s="62"/>
      <c r="G203" s="62"/>
      <c r="H203" s="62"/>
      <c r="I203" s="62"/>
      <c r="J203" s="62"/>
      <c r="K203" s="62"/>
      <c r="L203" s="62"/>
      <c r="M203" s="62"/>
      <c r="N203" s="62"/>
      <c r="O203" s="62"/>
      <c r="P203" s="62"/>
      <c r="Q203" s="62"/>
      <c r="R203" s="62"/>
      <c r="S203" s="62"/>
      <c r="T203" s="62"/>
      <c r="U203" s="62"/>
    </row>
    <row r="204" spans="2:21">
      <c r="B204" s="62"/>
      <c r="C204" s="62"/>
      <c r="D204" s="62"/>
      <c r="E204" s="62"/>
      <c r="F204" s="62"/>
      <c r="G204" s="62"/>
      <c r="H204" s="62"/>
      <c r="I204" s="62"/>
      <c r="J204" s="62"/>
      <c r="K204" s="62"/>
      <c r="L204" s="62"/>
      <c r="M204" s="62"/>
      <c r="N204" s="62"/>
      <c r="O204" s="62"/>
      <c r="P204" s="62"/>
      <c r="Q204" s="62"/>
      <c r="R204" s="62"/>
      <c r="S204" s="62"/>
      <c r="T204" s="62"/>
      <c r="U204" s="62"/>
    </row>
    <row r="205" spans="2:21">
      <c r="B205" s="62"/>
      <c r="C205" s="62"/>
      <c r="D205" s="62"/>
      <c r="E205" s="62"/>
      <c r="F205" s="62"/>
      <c r="G205" s="62"/>
      <c r="H205" s="62"/>
      <c r="I205" s="62"/>
      <c r="J205" s="62"/>
      <c r="K205" s="62"/>
      <c r="L205" s="62"/>
      <c r="M205" s="62"/>
      <c r="N205" s="62"/>
      <c r="O205" s="62"/>
      <c r="P205" s="62"/>
      <c r="Q205" s="62"/>
      <c r="R205" s="62"/>
      <c r="S205" s="62"/>
      <c r="T205" s="62"/>
      <c r="U205" s="62"/>
    </row>
    <row r="206" spans="2:21">
      <c r="B206" s="62"/>
      <c r="C206" s="62"/>
      <c r="D206" s="62"/>
      <c r="E206" s="62"/>
      <c r="F206" s="62"/>
      <c r="G206" s="62"/>
      <c r="H206" s="62"/>
      <c r="I206" s="62"/>
      <c r="J206" s="62"/>
      <c r="K206" s="62"/>
      <c r="L206" s="62"/>
      <c r="M206" s="62"/>
      <c r="N206" s="62"/>
      <c r="O206" s="62"/>
      <c r="P206" s="62"/>
      <c r="Q206" s="62"/>
      <c r="R206" s="62"/>
      <c r="S206" s="62"/>
      <c r="T206" s="62"/>
      <c r="U206" s="62"/>
    </row>
    <row r="207" spans="2:21">
      <c r="B207" s="62"/>
      <c r="C207" s="62"/>
      <c r="D207" s="62"/>
      <c r="E207" s="62"/>
      <c r="F207" s="62"/>
      <c r="G207" s="62"/>
      <c r="H207" s="62"/>
      <c r="I207" s="62"/>
      <c r="J207" s="62"/>
      <c r="K207" s="62"/>
      <c r="L207" s="62"/>
      <c r="M207" s="62"/>
      <c r="N207" s="62"/>
      <c r="O207" s="62"/>
      <c r="P207" s="62"/>
      <c r="Q207" s="62"/>
      <c r="R207" s="62"/>
      <c r="S207" s="62"/>
      <c r="T207" s="62"/>
      <c r="U207" s="62"/>
    </row>
    <row r="208" spans="2:21">
      <c r="B208" s="62"/>
      <c r="C208" s="62"/>
      <c r="D208" s="62"/>
      <c r="E208" s="62"/>
      <c r="F208" s="62"/>
      <c r="G208" s="62"/>
      <c r="H208" s="62"/>
      <c r="I208" s="62"/>
      <c r="J208" s="62"/>
      <c r="K208" s="62"/>
      <c r="L208" s="62"/>
      <c r="M208" s="62"/>
      <c r="N208" s="62"/>
      <c r="O208" s="62"/>
      <c r="P208" s="62"/>
      <c r="Q208" s="62"/>
      <c r="R208" s="62"/>
      <c r="S208" s="62"/>
      <c r="T208" s="62"/>
      <c r="U208" s="62"/>
    </row>
    <row r="209" spans="2:21">
      <c r="B209" s="62"/>
      <c r="C209" s="62"/>
      <c r="D209" s="62"/>
      <c r="E209" s="62"/>
      <c r="F209" s="62"/>
      <c r="G209" s="62"/>
      <c r="H209" s="62"/>
      <c r="I209" s="62"/>
      <c r="J209" s="62"/>
      <c r="K209" s="62"/>
      <c r="L209" s="62"/>
      <c r="M209" s="62"/>
      <c r="N209" s="62"/>
      <c r="O209" s="62"/>
      <c r="P209" s="62"/>
      <c r="Q209" s="62"/>
      <c r="R209" s="62"/>
      <c r="S209" s="62"/>
      <c r="T209" s="62"/>
      <c r="U209" s="62"/>
    </row>
    <row r="210" spans="2:21">
      <c r="B210" s="62"/>
      <c r="C210" s="62"/>
      <c r="D210" s="62"/>
      <c r="E210" s="62"/>
      <c r="F210" s="62"/>
      <c r="G210" s="62"/>
      <c r="H210" s="62"/>
      <c r="I210" s="62"/>
      <c r="J210" s="62"/>
      <c r="K210" s="62"/>
      <c r="L210" s="62"/>
      <c r="M210" s="62"/>
      <c r="N210" s="62"/>
      <c r="O210" s="62"/>
      <c r="P210" s="62"/>
      <c r="Q210" s="62"/>
      <c r="R210" s="62"/>
      <c r="S210" s="62"/>
      <c r="T210" s="62"/>
      <c r="U210" s="62"/>
    </row>
    <row r="211" spans="2:21">
      <c r="B211" s="62"/>
      <c r="C211" s="62"/>
      <c r="D211" s="62"/>
      <c r="E211" s="62"/>
      <c r="F211" s="62"/>
      <c r="G211" s="62"/>
      <c r="H211" s="62"/>
      <c r="I211" s="62"/>
      <c r="J211" s="62"/>
      <c r="K211" s="62"/>
      <c r="L211" s="62"/>
      <c r="M211" s="62"/>
      <c r="N211" s="62"/>
      <c r="O211" s="62"/>
      <c r="P211" s="62"/>
      <c r="Q211" s="62"/>
      <c r="R211" s="62"/>
      <c r="S211" s="62"/>
      <c r="T211" s="62"/>
      <c r="U211" s="62"/>
    </row>
    <row r="212" spans="2:21">
      <c r="B212" s="62"/>
      <c r="C212" s="62"/>
      <c r="D212" s="62"/>
      <c r="E212" s="62"/>
      <c r="F212" s="62"/>
      <c r="G212" s="62"/>
      <c r="H212" s="62"/>
      <c r="I212" s="62"/>
      <c r="J212" s="62"/>
      <c r="K212" s="62"/>
      <c r="L212" s="62"/>
      <c r="M212" s="62"/>
      <c r="N212" s="62"/>
      <c r="O212" s="62"/>
      <c r="P212" s="62"/>
      <c r="Q212" s="62"/>
      <c r="R212" s="62"/>
      <c r="S212" s="62"/>
      <c r="T212" s="62"/>
      <c r="U212" s="62"/>
    </row>
    <row r="213" spans="2:21">
      <c r="B213" s="62"/>
      <c r="C213" s="62"/>
      <c r="D213" s="62"/>
      <c r="E213" s="62"/>
      <c r="F213" s="62"/>
      <c r="G213" s="62"/>
      <c r="H213" s="62"/>
      <c r="I213" s="62"/>
      <c r="J213" s="62"/>
      <c r="K213" s="62"/>
      <c r="L213" s="62"/>
      <c r="M213" s="62"/>
      <c r="N213" s="62"/>
      <c r="O213" s="62"/>
      <c r="P213" s="62"/>
      <c r="Q213" s="62"/>
      <c r="R213" s="62"/>
      <c r="S213" s="62"/>
      <c r="T213" s="62"/>
      <c r="U213" s="62"/>
    </row>
    <row r="214" spans="2:21">
      <c r="B214" s="62"/>
      <c r="C214" s="62"/>
      <c r="D214" s="62"/>
      <c r="E214" s="62"/>
      <c r="F214" s="62"/>
      <c r="G214" s="62"/>
      <c r="H214" s="62"/>
      <c r="I214" s="62"/>
      <c r="J214" s="62"/>
      <c r="K214" s="62"/>
      <c r="L214" s="62"/>
      <c r="M214" s="62"/>
      <c r="N214" s="62"/>
      <c r="O214" s="62"/>
      <c r="P214" s="62"/>
      <c r="Q214" s="62"/>
      <c r="R214" s="62"/>
      <c r="S214" s="62"/>
      <c r="T214" s="62"/>
      <c r="U214" s="62"/>
    </row>
    <row r="215" spans="2:21">
      <c r="B215" s="62"/>
      <c r="C215" s="62"/>
      <c r="D215" s="62"/>
      <c r="E215" s="62"/>
      <c r="F215" s="62"/>
      <c r="G215" s="62"/>
      <c r="H215" s="62"/>
      <c r="I215" s="62"/>
      <c r="J215" s="62"/>
      <c r="K215" s="62"/>
      <c r="L215" s="62"/>
      <c r="M215" s="62"/>
      <c r="N215" s="62"/>
      <c r="O215" s="62"/>
      <c r="P215" s="62"/>
      <c r="Q215" s="62"/>
      <c r="R215" s="62"/>
      <c r="S215" s="62"/>
      <c r="T215" s="62"/>
      <c r="U215" s="62"/>
    </row>
    <row r="216" spans="2:21">
      <c r="B216" s="62"/>
      <c r="C216" s="62"/>
      <c r="D216" s="62"/>
      <c r="E216" s="62"/>
      <c r="F216" s="62"/>
      <c r="G216" s="62"/>
      <c r="H216" s="62"/>
      <c r="I216" s="62"/>
      <c r="J216" s="62"/>
      <c r="K216" s="62"/>
      <c r="L216" s="62"/>
      <c r="M216" s="62"/>
      <c r="N216" s="62"/>
      <c r="O216" s="62"/>
      <c r="P216" s="62"/>
      <c r="Q216" s="62"/>
      <c r="R216" s="62"/>
      <c r="S216" s="62"/>
      <c r="T216" s="62"/>
      <c r="U216" s="62"/>
    </row>
    <row r="217" spans="2:21">
      <c r="B217" s="62"/>
      <c r="C217" s="62"/>
      <c r="D217" s="62"/>
      <c r="E217" s="62"/>
      <c r="F217" s="62"/>
      <c r="G217" s="62"/>
      <c r="H217" s="62"/>
      <c r="I217" s="62"/>
      <c r="J217" s="62"/>
      <c r="K217" s="62"/>
      <c r="L217" s="62"/>
      <c r="M217" s="62"/>
      <c r="N217" s="62"/>
      <c r="O217" s="62"/>
      <c r="P217" s="62"/>
      <c r="Q217" s="62"/>
      <c r="R217" s="62"/>
      <c r="S217" s="62"/>
      <c r="T217" s="62"/>
      <c r="U217" s="62"/>
    </row>
    <row r="218" spans="2:21">
      <c r="B218" s="62"/>
      <c r="C218" s="62"/>
      <c r="D218" s="62"/>
      <c r="E218" s="62"/>
      <c r="F218" s="62"/>
      <c r="G218" s="62"/>
      <c r="H218" s="62"/>
      <c r="I218" s="62"/>
      <c r="J218" s="62"/>
      <c r="K218" s="62"/>
      <c r="L218" s="62"/>
      <c r="M218" s="62"/>
      <c r="N218" s="62"/>
      <c r="O218" s="62"/>
      <c r="P218" s="62"/>
      <c r="Q218" s="62"/>
      <c r="R218" s="62"/>
      <c r="S218" s="62"/>
      <c r="T218" s="62"/>
      <c r="U218" s="62"/>
    </row>
    <row r="219" spans="2:21">
      <c r="B219" s="62"/>
      <c r="C219" s="62"/>
      <c r="D219" s="62"/>
      <c r="E219" s="62"/>
      <c r="F219" s="62"/>
      <c r="G219" s="62"/>
      <c r="H219" s="62"/>
      <c r="I219" s="62"/>
      <c r="J219" s="62"/>
      <c r="K219" s="62"/>
      <c r="L219" s="62"/>
      <c r="M219" s="62"/>
      <c r="N219" s="62"/>
      <c r="O219" s="62"/>
      <c r="P219" s="62"/>
      <c r="Q219" s="62"/>
      <c r="R219" s="62"/>
      <c r="S219" s="62"/>
      <c r="T219" s="62"/>
      <c r="U219" s="62"/>
    </row>
    <row r="220" spans="2:21">
      <c r="B220" s="62"/>
      <c r="C220" s="62"/>
      <c r="D220" s="62"/>
      <c r="E220" s="62"/>
      <c r="F220" s="62"/>
      <c r="G220" s="62"/>
      <c r="H220" s="62"/>
      <c r="I220" s="62"/>
      <c r="J220" s="62"/>
      <c r="K220" s="62"/>
      <c r="L220" s="62"/>
      <c r="M220" s="62"/>
      <c r="N220" s="62"/>
      <c r="O220" s="62"/>
      <c r="P220" s="62"/>
      <c r="Q220" s="62"/>
      <c r="R220" s="62"/>
      <c r="S220" s="62"/>
      <c r="T220" s="62"/>
      <c r="U220" s="62"/>
    </row>
    <row r="221" spans="2:21">
      <c r="B221" s="62"/>
      <c r="C221" s="62"/>
      <c r="D221" s="62"/>
      <c r="E221" s="62"/>
      <c r="F221" s="62"/>
      <c r="G221" s="62"/>
      <c r="H221" s="62"/>
      <c r="I221" s="62"/>
      <c r="J221" s="62"/>
      <c r="K221" s="62"/>
      <c r="L221" s="62"/>
      <c r="M221" s="62"/>
      <c r="N221" s="62"/>
      <c r="O221" s="62"/>
      <c r="P221" s="62"/>
      <c r="Q221" s="62"/>
      <c r="R221" s="62"/>
      <c r="S221" s="62"/>
      <c r="T221" s="62"/>
      <c r="U221" s="62"/>
    </row>
    <row r="222" spans="2:21">
      <c r="B222" s="62"/>
      <c r="C222" s="62"/>
      <c r="D222" s="62"/>
      <c r="E222" s="62"/>
      <c r="F222" s="62"/>
      <c r="G222" s="62"/>
      <c r="H222" s="62"/>
      <c r="I222" s="62"/>
      <c r="J222" s="62"/>
      <c r="K222" s="62"/>
      <c r="L222" s="62"/>
      <c r="M222" s="62"/>
      <c r="N222" s="62"/>
      <c r="O222" s="62"/>
      <c r="P222" s="62"/>
      <c r="Q222" s="62"/>
      <c r="R222" s="62"/>
      <c r="S222" s="62"/>
      <c r="T222" s="62"/>
      <c r="U222" s="62"/>
    </row>
  </sheetData>
  <sheetProtection selectLockedCells="1"/>
  <hyperlinks>
    <hyperlink ref="B9" location="'Step 1 - Fill in Details'!A1" display="Step 1 - Fill in Details" xr:uid="{8A3F4CDC-463B-4570-9816-2CCA86CAC9AC}"/>
    <hyperlink ref="B10" location="'Step 2 - Scoring'!A1" display="Step 2 - Scoring" xr:uid="{3BE00E80-6C0E-49B0-ADED-2F39C57E0355}"/>
    <hyperlink ref="B11" location="'Step 3 - Create Pipeline'!A1" display="Step 3 - Create Pipeline" xr:uid="{59787941-7DF9-481D-A65A-F306E71B84E7}"/>
    <hyperlink ref="B12" location="'(VIEW) Symbol Sheet'!A1" display="(VIEW) Symbol Sheet" xr:uid="{BCC009E8-C24F-4373-90B1-6A5F4425A4FD}"/>
    <hyperlink ref="B13" location="'(VIEW) Prism'!A1" display="(VIEW) Prism" xr:uid="{9501729D-2072-4336-B9BF-DEFA951DFA70}"/>
    <hyperlink ref="B20" r:id="rId1" display="https://www.gartner.com/document/code/735309" xr:uid="{053256AE-A774-4E31-BCA3-5E272259F334}"/>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C42B4-B65B-4A94-A7AB-620FC96D15C9}">
  <dimension ref="A1:AB996"/>
  <sheetViews>
    <sheetView showGridLines="0" workbookViewId="0">
      <selection activeCell="E10" sqref="E10"/>
    </sheetView>
  </sheetViews>
  <sheetFormatPr defaultColWidth="8.85546875" defaultRowHeight="14.25"/>
  <cols>
    <col min="1" max="1" width="4.7109375" style="34" customWidth="1"/>
    <col min="2" max="2" width="2.7109375" style="34" customWidth="1"/>
    <col min="3" max="3" width="33" style="34" customWidth="1"/>
    <col min="4" max="4" width="1.85546875" style="34" customWidth="1"/>
    <col min="5" max="5" width="84.140625" style="43" customWidth="1"/>
    <col min="6" max="6" width="3.140625" style="34" customWidth="1"/>
    <col min="7" max="7" width="5" style="34" customWidth="1"/>
    <col min="8" max="8" width="4" style="34" customWidth="1"/>
    <col min="9" max="9" width="6.7109375" style="34" bestFit="1" customWidth="1"/>
    <col min="10" max="10" width="4.85546875" style="34" customWidth="1"/>
    <col min="11" max="11" width="2.7109375" style="34" customWidth="1"/>
    <col min="12" max="12" width="20.7109375" style="34" customWidth="1"/>
    <col min="13" max="13" width="6.7109375" style="34" bestFit="1" customWidth="1"/>
    <col min="14" max="16" width="2.7109375" style="34" customWidth="1"/>
    <col min="17" max="18" width="15.28515625" style="34" customWidth="1"/>
    <col min="19" max="19" width="2.7109375" style="34" customWidth="1"/>
    <col min="20" max="16384" width="8.85546875" style="34"/>
  </cols>
  <sheetData>
    <row r="1" spans="1:28">
      <c r="A1" s="31"/>
      <c r="B1" s="32"/>
      <c r="C1" s="33"/>
      <c r="D1" s="32"/>
      <c r="E1" s="32"/>
      <c r="F1" s="32"/>
      <c r="G1" s="31"/>
      <c r="H1" s="31"/>
      <c r="I1" s="31"/>
      <c r="J1" s="31"/>
      <c r="K1" s="31"/>
      <c r="L1" s="31"/>
      <c r="M1" s="31"/>
      <c r="N1" s="31"/>
      <c r="O1" s="31"/>
      <c r="P1" s="31"/>
      <c r="Q1" s="31"/>
      <c r="R1" s="31"/>
      <c r="S1" s="31"/>
      <c r="T1" s="31"/>
      <c r="U1" s="31"/>
      <c r="V1" s="31"/>
      <c r="W1" s="31"/>
      <c r="X1" s="31"/>
      <c r="Y1" s="31"/>
      <c r="Z1" s="31"/>
      <c r="AA1" s="31"/>
      <c r="AB1" s="31"/>
    </row>
    <row r="2" spans="1:28">
      <c r="A2" s="31"/>
      <c r="B2" s="32"/>
      <c r="C2" s="33"/>
      <c r="D2" s="32"/>
      <c r="E2" s="71"/>
      <c r="F2" s="32"/>
      <c r="G2" s="31"/>
      <c r="H2" s="31"/>
      <c r="I2" s="31"/>
      <c r="J2" s="31"/>
      <c r="K2" s="31"/>
      <c r="L2" s="31"/>
      <c r="M2" s="31"/>
      <c r="N2" s="31"/>
      <c r="O2" s="31"/>
      <c r="P2" s="31"/>
      <c r="Q2" s="31"/>
      <c r="R2" s="31"/>
      <c r="S2" s="31"/>
      <c r="T2" s="31"/>
      <c r="U2" s="31"/>
      <c r="V2" s="31"/>
      <c r="W2" s="31"/>
      <c r="X2" s="31"/>
      <c r="Y2" s="31"/>
      <c r="Z2" s="31"/>
      <c r="AA2" s="31"/>
      <c r="AB2" s="31"/>
    </row>
    <row r="3" spans="1:28">
      <c r="A3" s="31"/>
      <c r="B3" s="32"/>
      <c r="C3" s="35" t="s">
        <v>30</v>
      </c>
      <c r="D3" s="32"/>
      <c r="E3" s="71" t="s">
        <v>67</v>
      </c>
      <c r="F3" s="32"/>
      <c r="G3" s="31"/>
      <c r="H3" s="31"/>
      <c r="I3" s="31"/>
      <c r="J3" s="31"/>
      <c r="K3" s="31"/>
      <c r="L3" s="31"/>
      <c r="M3" s="31"/>
      <c r="N3" s="31"/>
      <c r="O3" s="31"/>
      <c r="P3" s="31"/>
      <c r="Q3" s="31"/>
      <c r="R3" s="31"/>
      <c r="S3" s="31"/>
      <c r="T3" s="31"/>
      <c r="U3" s="31"/>
      <c r="V3" s="31"/>
      <c r="W3" s="31"/>
      <c r="X3" s="31"/>
      <c r="Y3" s="31"/>
      <c r="Z3" s="31"/>
      <c r="AA3" s="31"/>
      <c r="AB3" s="31"/>
    </row>
    <row r="4" spans="1:28" ht="25.5">
      <c r="A4" s="31"/>
      <c r="B4" s="32"/>
      <c r="C4" s="35" t="s">
        <v>82</v>
      </c>
      <c r="D4" s="32"/>
      <c r="E4" s="72" t="s">
        <v>68</v>
      </c>
      <c r="F4" s="32"/>
      <c r="G4" s="31"/>
      <c r="H4" s="31"/>
      <c r="I4" s="31"/>
      <c r="J4" s="31"/>
      <c r="K4" s="31"/>
      <c r="L4" s="31"/>
      <c r="M4" s="31"/>
      <c r="N4" s="31"/>
      <c r="O4" s="31"/>
      <c r="P4" s="31"/>
      <c r="Q4" s="31"/>
      <c r="R4" s="31"/>
      <c r="S4" s="31"/>
      <c r="T4" s="31"/>
      <c r="U4" s="31"/>
      <c r="V4" s="31"/>
      <c r="W4" s="31"/>
      <c r="X4" s="31"/>
      <c r="Y4" s="31"/>
      <c r="Z4" s="31"/>
      <c r="AA4" s="31"/>
      <c r="AB4" s="31"/>
    </row>
    <row r="5" spans="1:28">
      <c r="A5" s="31"/>
      <c r="B5" s="32"/>
      <c r="C5" s="36"/>
      <c r="D5" s="32"/>
      <c r="E5" s="32"/>
      <c r="F5" s="32"/>
      <c r="G5" s="31"/>
      <c r="H5" s="31"/>
      <c r="I5" s="31"/>
      <c r="J5" s="31"/>
      <c r="K5" s="59" t="s">
        <v>97</v>
      </c>
      <c r="O5" s="31"/>
      <c r="T5" s="31"/>
      <c r="U5" s="31"/>
      <c r="V5" s="31"/>
      <c r="W5" s="31"/>
      <c r="X5" s="31"/>
      <c r="Y5" s="31"/>
      <c r="Z5" s="31"/>
      <c r="AA5" s="31"/>
      <c r="AB5" s="31"/>
    </row>
    <row r="6" spans="1:28">
      <c r="A6" s="31"/>
      <c r="B6" s="32"/>
      <c r="C6" s="75" t="s">
        <v>31</v>
      </c>
      <c r="D6" s="32"/>
      <c r="E6" s="74" t="s">
        <v>32</v>
      </c>
      <c r="F6" s="32"/>
      <c r="G6" s="31"/>
      <c r="H6" s="31"/>
      <c r="I6" s="31"/>
      <c r="J6" s="45"/>
      <c r="K6" s="32"/>
      <c r="L6" s="32"/>
      <c r="M6" s="32"/>
      <c r="N6" s="32"/>
      <c r="O6" s="31"/>
      <c r="P6" s="32"/>
      <c r="Q6" s="32"/>
      <c r="R6" s="32"/>
      <c r="S6" s="32"/>
      <c r="T6" s="31"/>
      <c r="U6" s="31"/>
      <c r="V6" s="31"/>
      <c r="W6" s="31"/>
      <c r="X6" s="31"/>
      <c r="Y6" s="31"/>
      <c r="Z6" s="31"/>
      <c r="AA6" s="31"/>
      <c r="AB6" s="31"/>
    </row>
    <row r="7" spans="1:28" ht="33.75">
      <c r="A7" s="31"/>
      <c r="B7" s="37" t="s">
        <v>54</v>
      </c>
      <c r="C7" s="76" t="s">
        <v>89</v>
      </c>
      <c r="D7" s="37" t="b">
        <f>AND(C7&lt;&gt;B7,NOT(ISBLANK(C7)))</f>
        <v>1</v>
      </c>
      <c r="E7" s="73"/>
      <c r="F7" s="32"/>
      <c r="G7" s="31"/>
      <c r="H7" s="31"/>
      <c r="I7" s="31"/>
      <c r="J7" s="45"/>
      <c r="K7" s="32"/>
      <c r="L7" s="38" t="s">
        <v>4</v>
      </c>
      <c r="M7" s="38"/>
      <c r="N7" s="32"/>
      <c r="O7" s="31"/>
      <c r="P7" s="32"/>
      <c r="Q7" s="39" t="s">
        <v>62</v>
      </c>
      <c r="R7" s="40"/>
      <c r="S7" s="32"/>
      <c r="T7" s="31"/>
      <c r="U7" s="31"/>
      <c r="V7" s="31"/>
      <c r="W7" s="31"/>
      <c r="X7" s="31"/>
      <c r="Y7" s="31"/>
      <c r="Z7" s="31"/>
      <c r="AA7" s="31"/>
      <c r="AB7" s="31"/>
    </row>
    <row r="8" spans="1:28" ht="33.75">
      <c r="A8" s="31"/>
      <c r="B8" s="37" t="s">
        <v>49</v>
      </c>
      <c r="C8" s="76" t="s">
        <v>90</v>
      </c>
      <c r="D8" s="37" t="b">
        <f>AND(C8&lt;&gt;B8,NOT(ISBLANK(C8)))</f>
        <v>1</v>
      </c>
      <c r="E8" s="73"/>
      <c r="F8" s="32"/>
      <c r="G8" s="31"/>
      <c r="H8" s="31"/>
      <c r="I8" s="31"/>
      <c r="J8" s="45"/>
      <c r="K8" s="32"/>
      <c r="L8" s="46" t="s">
        <v>55</v>
      </c>
      <c r="M8" s="47" t="s">
        <v>70</v>
      </c>
      <c r="N8" s="32"/>
      <c r="O8" s="31"/>
      <c r="P8" s="32"/>
      <c r="Q8" s="113"/>
      <c r="R8" s="114"/>
      <c r="S8" s="32"/>
      <c r="T8" s="31"/>
      <c r="U8" s="31"/>
      <c r="V8" s="31"/>
      <c r="W8" s="31"/>
      <c r="X8" s="31"/>
      <c r="Y8" s="31"/>
      <c r="Z8" s="31"/>
      <c r="AA8" s="31"/>
      <c r="AB8" s="31"/>
    </row>
    <row r="9" spans="1:28" ht="33.75">
      <c r="A9" s="31"/>
      <c r="B9" s="37" t="s">
        <v>50</v>
      </c>
      <c r="C9" s="76" t="s">
        <v>50</v>
      </c>
      <c r="D9" s="37" t="b">
        <f t="shared" ref="D9:D31" si="0">AND(C9&lt;&gt;B9,NOT(ISBLANK(C9)))</f>
        <v>0</v>
      </c>
      <c r="E9" s="73"/>
      <c r="F9" s="32"/>
      <c r="G9" s="31"/>
      <c r="H9" s="31"/>
      <c r="I9" s="31"/>
      <c r="J9" s="45">
        <f>COUNTIF($N$9:N9,FALSE())</f>
        <v>1</v>
      </c>
      <c r="K9" s="37" t="s">
        <v>56</v>
      </c>
      <c r="L9" s="76" t="s">
        <v>91</v>
      </c>
      <c r="M9" s="41">
        <v>0.3</v>
      </c>
      <c r="N9" s="37" t="b">
        <f t="shared" ref="N9:N13" si="1">K9=L9</f>
        <v>0</v>
      </c>
      <c r="O9" s="31"/>
      <c r="P9" s="37" t="s">
        <v>56</v>
      </c>
      <c r="Q9" s="113"/>
      <c r="R9" s="114"/>
      <c r="S9" s="37" t="b">
        <f t="shared" ref="S9:S13" si="2">P9=Q9</f>
        <v>0</v>
      </c>
      <c r="T9" s="31"/>
      <c r="U9" s="31"/>
      <c r="V9" s="31"/>
      <c r="W9" s="31"/>
      <c r="X9" s="31"/>
      <c r="Y9" s="31"/>
      <c r="Z9" s="31"/>
      <c r="AA9" s="31"/>
      <c r="AB9" s="31"/>
    </row>
    <row r="10" spans="1:28" ht="33.75">
      <c r="A10" s="31"/>
      <c r="B10" s="37" t="s">
        <v>51</v>
      </c>
      <c r="C10" s="76" t="s">
        <v>51</v>
      </c>
      <c r="D10" s="37" t="b">
        <f t="shared" si="0"/>
        <v>0</v>
      </c>
      <c r="E10" s="73"/>
      <c r="F10" s="32"/>
      <c r="G10" s="31"/>
      <c r="H10" s="31"/>
      <c r="I10" s="31"/>
      <c r="J10" s="45">
        <f>COUNTIF($N$9:N10,FALSE())</f>
        <v>2</v>
      </c>
      <c r="K10" s="37" t="s">
        <v>57</v>
      </c>
      <c r="L10" s="76" t="s">
        <v>92</v>
      </c>
      <c r="M10" s="41">
        <v>0.4</v>
      </c>
      <c r="N10" s="37" t="b">
        <f t="shared" si="1"/>
        <v>0</v>
      </c>
      <c r="O10" s="31"/>
      <c r="P10" s="37" t="s">
        <v>57</v>
      </c>
      <c r="Q10" s="113"/>
      <c r="R10" s="114"/>
      <c r="S10" s="37" t="b">
        <f t="shared" si="2"/>
        <v>0</v>
      </c>
      <c r="T10" s="31"/>
      <c r="U10" s="31"/>
      <c r="V10" s="31"/>
      <c r="W10" s="31"/>
      <c r="X10" s="31"/>
      <c r="Y10" s="31"/>
      <c r="Z10" s="31"/>
      <c r="AA10" s="31"/>
      <c r="AB10" s="31"/>
    </row>
    <row r="11" spans="1:28" ht="33.75">
      <c r="A11" s="31"/>
      <c r="B11" s="37" t="s">
        <v>52</v>
      </c>
      <c r="C11" s="76" t="s">
        <v>52</v>
      </c>
      <c r="D11" s="37" t="b">
        <f t="shared" si="0"/>
        <v>0</v>
      </c>
      <c r="E11" s="73"/>
      <c r="F11" s="32"/>
      <c r="G11" s="31"/>
      <c r="H11" s="31"/>
      <c r="I11" s="31"/>
      <c r="J11" s="45">
        <f>COUNTIF($N$9:N11,FALSE())</f>
        <v>3</v>
      </c>
      <c r="K11" s="37" t="s">
        <v>58</v>
      </c>
      <c r="L11" s="76" t="s">
        <v>93</v>
      </c>
      <c r="M11" s="41">
        <v>0.3</v>
      </c>
      <c r="N11" s="37" t="b">
        <f t="shared" si="1"/>
        <v>0</v>
      </c>
      <c r="O11" s="31"/>
      <c r="P11" s="37" t="s">
        <v>58</v>
      </c>
      <c r="Q11" s="113"/>
      <c r="R11" s="114"/>
      <c r="S11" s="37" t="b">
        <f t="shared" si="2"/>
        <v>0</v>
      </c>
      <c r="T11" s="31"/>
      <c r="U11" s="31"/>
      <c r="V11" s="31"/>
      <c r="W11" s="31"/>
      <c r="X11" s="31"/>
      <c r="Y11" s="31"/>
      <c r="Z11" s="31"/>
      <c r="AA11" s="31"/>
      <c r="AB11" s="31"/>
    </row>
    <row r="12" spans="1:28" ht="33.75">
      <c r="A12" s="31"/>
      <c r="B12" s="37" t="s">
        <v>53</v>
      </c>
      <c r="C12" s="76" t="s">
        <v>53</v>
      </c>
      <c r="D12" s="37" t="b">
        <f t="shared" si="0"/>
        <v>0</v>
      </c>
      <c r="E12" s="73"/>
      <c r="F12" s="32"/>
      <c r="G12" s="31"/>
      <c r="H12" s="31"/>
      <c r="I12" s="31"/>
      <c r="J12" s="45">
        <f>COUNTIF($N$9:N12,FALSE())</f>
        <v>3</v>
      </c>
      <c r="K12" s="37" t="s">
        <v>59</v>
      </c>
      <c r="L12" s="76" t="s">
        <v>59</v>
      </c>
      <c r="M12" s="41"/>
      <c r="N12" s="37" t="b">
        <f t="shared" si="1"/>
        <v>1</v>
      </c>
      <c r="O12" s="31"/>
      <c r="P12" s="37" t="s">
        <v>59</v>
      </c>
      <c r="Q12" s="113"/>
      <c r="R12" s="114"/>
      <c r="S12" s="37" t="b">
        <f t="shared" si="2"/>
        <v>0</v>
      </c>
      <c r="T12" s="31"/>
      <c r="U12" s="31"/>
      <c r="V12" s="31"/>
      <c r="W12" s="31"/>
      <c r="X12" s="31"/>
      <c r="Y12" s="31"/>
      <c r="Z12" s="31"/>
      <c r="AA12" s="31"/>
      <c r="AB12" s="31"/>
    </row>
    <row r="13" spans="1:28" ht="33.75">
      <c r="A13" s="31"/>
      <c r="B13" s="37" t="s">
        <v>33</v>
      </c>
      <c r="C13" s="76" t="s">
        <v>33</v>
      </c>
      <c r="D13" s="37" t="b">
        <f t="shared" si="0"/>
        <v>0</v>
      </c>
      <c r="E13" s="73"/>
      <c r="F13" s="32"/>
      <c r="G13" s="31"/>
      <c r="H13" s="31"/>
      <c r="I13" s="31"/>
      <c r="J13" s="45">
        <f>COUNTIF($N$9:N13,FALSE())</f>
        <v>3</v>
      </c>
      <c r="K13" s="37" t="s">
        <v>60</v>
      </c>
      <c r="L13" s="76" t="s">
        <v>60</v>
      </c>
      <c r="M13" s="41"/>
      <c r="N13" s="37" t="b">
        <f t="shared" si="1"/>
        <v>1</v>
      </c>
      <c r="O13" s="31"/>
      <c r="P13" s="37" t="s">
        <v>60</v>
      </c>
      <c r="Q13" s="115"/>
      <c r="R13" s="116"/>
      <c r="S13" s="37" t="b">
        <f t="shared" si="2"/>
        <v>0</v>
      </c>
      <c r="T13" s="31"/>
      <c r="U13" s="31"/>
      <c r="V13" s="31"/>
      <c r="W13" s="31"/>
      <c r="X13" s="31"/>
      <c r="Y13" s="31"/>
      <c r="Z13" s="31"/>
      <c r="AA13" s="31"/>
      <c r="AB13" s="31"/>
    </row>
    <row r="14" spans="1:28" ht="33.75">
      <c r="A14" s="31"/>
      <c r="B14" s="37" t="s">
        <v>34</v>
      </c>
      <c r="C14" s="76" t="s">
        <v>34</v>
      </c>
      <c r="D14" s="37" t="b">
        <f t="shared" si="0"/>
        <v>0</v>
      </c>
      <c r="E14" s="73"/>
      <c r="F14" s="32"/>
      <c r="G14" s="31"/>
      <c r="H14" s="31"/>
      <c r="I14" s="31"/>
      <c r="J14" s="45">
        <f>COUNTIF($N$9:N14,FALSE())</f>
        <v>3</v>
      </c>
      <c r="K14" s="32"/>
      <c r="L14" s="32"/>
      <c r="M14" s="58">
        <f>SUM(M9:M13)</f>
        <v>1</v>
      </c>
      <c r="N14" s="51" t="b">
        <f>M14=1</f>
        <v>1</v>
      </c>
      <c r="O14" s="31"/>
      <c r="P14" s="32"/>
      <c r="Q14" s="32"/>
      <c r="R14" s="32"/>
      <c r="S14" s="32"/>
      <c r="T14" s="31"/>
      <c r="U14" s="31"/>
      <c r="V14" s="31"/>
      <c r="W14" s="31"/>
      <c r="X14" s="31"/>
      <c r="Y14" s="31"/>
      <c r="Z14" s="31"/>
      <c r="AA14" s="31"/>
      <c r="AB14" s="31"/>
    </row>
    <row r="15" spans="1:28" ht="33.75">
      <c r="A15" s="31"/>
      <c r="B15" s="37" t="s">
        <v>35</v>
      </c>
      <c r="C15" s="76" t="s">
        <v>35</v>
      </c>
      <c r="D15" s="37" t="b">
        <f t="shared" si="0"/>
        <v>0</v>
      </c>
      <c r="E15" s="73"/>
      <c r="F15" s="32"/>
      <c r="G15" s="31"/>
      <c r="H15" s="31"/>
      <c r="I15" s="31"/>
      <c r="J15" s="45">
        <f>COUNTIF($N$9:N15,FALSE())</f>
        <v>3</v>
      </c>
      <c r="K15" s="31"/>
      <c r="L15" s="31"/>
      <c r="M15" s="31"/>
      <c r="N15" s="31"/>
      <c r="O15" s="31"/>
      <c r="P15" s="31"/>
      <c r="Q15" s="31"/>
      <c r="R15" s="31"/>
      <c r="S15" s="31"/>
      <c r="T15" s="31"/>
      <c r="U15" s="31"/>
      <c r="V15" s="31"/>
      <c r="W15" s="31"/>
      <c r="X15" s="31"/>
      <c r="Y15" s="31"/>
      <c r="Z15" s="31"/>
      <c r="AA15" s="31"/>
      <c r="AB15" s="31"/>
    </row>
    <row r="16" spans="1:28" ht="33.75">
      <c r="A16" s="31"/>
      <c r="B16" s="37" t="s">
        <v>36</v>
      </c>
      <c r="C16" s="76" t="s">
        <v>36</v>
      </c>
      <c r="D16" s="37" t="b">
        <f t="shared" si="0"/>
        <v>0</v>
      </c>
      <c r="E16" s="73"/>
      <c r="F16" s="32"/>
      <c r="G16" s="31"/>
      <c r="H16" s="31"/>
      <c r="I16" s="31"/>
      <c r="J16" s="45">
        <f>COUNTIF($N$9:N16,FALSE())</f>
        <v>3</v>
      </c>
      <c r="K16" s="32"/>
      <c r="L16" s="32"/>
      <c r="M16" s="32"/>
      <c r="N16" s="32"/>
      <c r="O16" s="31"/>
      <c r="P16" s="32"/>
      <c r="Q16" s="32"/>
      <c r="R16" s="32"/>
      <c r="S16" s="32"/>
      <c r="T16" s="31"/>
      <c r="U16" s="31"/>
      <c r="V16" s="31"/>
      <c r="W16" s="31"/>
      <c r="X16" s="31"/>
      <c r="Y16" s="31"/>
      <c r="Z16" s="31"/>
      <c r="AA16" s="31"/>
      <c r="AB16" s="31"/>
    </row>
    <row r="17" spans="1:28" ht="33.75">
      <c r="A17" s="31"/>
      <c r="B17" s="37" t="s">
        <v>37</v>
      </c>
      <c r="C17" s="76" t="s">
        <v>37</v>
      </c>
      <c r="D17" s="37" t="b">
        <f t="shared" si="0"/>
        <v>0</v>
      </c>
      <c r="E17" s="73"/>
      <c r="F17" s="32"/>
      <c r="G17" s="31"/>
      <c r="H17" s="31"/>
      <c r="I17" s="31"/>
      <c r="J17" s="45">
        <f>COUNTIF($N$9:N17,FALSE())</f>
        <v>3</v>
      </c>
      <c r="K17" s="32"/>
      <c r="L17" s="38" t="s">
        <v>5</v>
      </c>
      <c r="M17" s="38"/>
      <c r="N17" s="32"/>
      <c r="O17" s="31"/>
      <c r="P17" s="32"/>
      <c r="Q17" s="39" t="s">
        <v>63</v>
      </c>
      <c r="R17" s="40"/>
      <c r="S17" s="32"/>
      <c r="T17" s="31"/>
      <c r="U17" s="31"/>
      <c r="V17" s="31"/>
      <c r="W17" s="31"/>
      <c r="X17" s="31"/>
      <c r="Y17" s="31"/>
      <c r="Z17" s="31"/>
      <c r="AA17" s="31"/>
      <c r="AB17" s="31"/>
    </row>
    <row r="18" spans="1:28" ht="33.75">
      <c r="A18" s="31"/>
      <c r="B18" s="37" t="s">
        <v>38</v>
      </c>
      <c r="C18" s="76" t="s">
        <v>38</v>
      </c>
      <c r="D18" s="37" t="b">
        <f t="shared" si="0"/>
        <v>0</v>
      </c>
      <c r="E18" s="73"/>
      <c r="F18" s="32"/>
      <c r="G18" s="31"/>
      <c r="H18" s="31"/>
      <c r="I18" s="31"/>
      <c r="J18" s="45">
        <f>COUNTIF($N$9:N18,FALSE())</f>
        <v>3</v>
      </c>
      <c r="K18" s="32"/>
      <c r="L18" s="46" t="s">
        <v>55</v>
      </c>
      <c r="M18" s="47" t="s">
        <v>70</v>
      </c>
      <c r="N18" s="32"/>
      <c r="O18" s="31"/>
      <c r="P18" s="32"/>
      <c r="Q18" s="113" t="s">
        <v>72</v>
      </c>
      <c r="R18" s="114"/>
      <c r="S18" s="32"/>
      <c r="T18" s="31"/>
      <c r="U18" s="31"/>
      <c r="V18" s="31"/>
      <c r="W18" s="31"/>
      <c r="X18" s="31"/>
      <c r="Y18" s="31"/>
      <c r="Z18" s="31"/>
      <c r="AA18" s="31"/>
      <c r="AB18" s="31"/>
    </row>
    <row r="19" spans="1:28" ht="33.75">
      <c r="A19" s="31"/>
      <c r="B19" s="37" t="s">
        <v>39</v>
      </c>
      <c r="C19" s="76" t="s">
        <v>39</v>
      </c>
      <c r="D19" s="37" t="b">
        <f t="shared" si="0"/>
        <v>0</v>
      </c>
      <c r="E19" s="73"/>
      <c r="F19" s="32"/>
      <c r="G19" s="31"/>
      <c r="H19" s="31"/>
      <c r="I19" s="31"/>
      <c r="J19" s="45">
        <f>COUNTIF($N$9:N19,FALSE())</f>
        <v>4</v>
      </c>
      <c r="K19" s="37" t="s">
        <v>56</v>
      </c>
      <c r="L19" s="76" t="s">
        <v>94</v>
      </c>
      <c r="M19" s="41">
        <v>0.3</v>
      </c>
      <c r="N19" s="37" t="b">
        <f>K19=L19</f>
        <v>0</v>
      </c>
      <c r="O19" s="31"/>
      <c r="P19" s="37" t="s">
        <v>56</v>
      </c>
      <c r="Q19" s="113"/>
      <c r="R19" s="114"/>
      <c r="S19" s="37" t="b">
        <f>P19=Q19</f>
        <v>0</v>
      </c>
      <c r="T19" s="31"/>
      <c r="U19" s="31"/>
      <c r="V19" s="31"/>
      <c r="W19" s="31"/>
      <c r="X19" s="31"/>
      <c r="Y19" s="31"/>
      <c r="Z19" s="31"/>
      <c r="AA19" s="31"/>
      <c r="AB19" s="31"/>
    </row>
    <row r="20" spans="1:28" ht="33.75">
      <c r="A20" s="31"/>
      <c r="B20" s="37" t="s">
        <v>40</v>
      </c>
      <c r="C20" s="76" t="s">
        <v>40</v>
      </c>
      <c r="D20" s="37" t="b">
        <f t="shared" si="0"/>
        <v>0</v>
      </c>
      <c r="E20" s="73"/>
      <c r="F20" s="32"/>
      <c r="G20" s="31"/>
      <c r="H20" s="31"/>
      <c r="I20" s="31"/>
      <c r="J20" s="45">
        <f>COUNTIF($N$9:N20,FALSE())</f>
        <v>5</v>
      </c>
      <c r="K20" s="37" t="s">
        <v>57</v>
      </c>
      <c r="L20" s="76" t="s">
        <v>95</v>
      </c>
      <c r="M20" s="41">
        <v>0.4</v>
      </c>
      <c r="N20" s="37" t="b">
        <f t="shared" ref="N20:N23" si="3">K20=L20</f>
        <v>0</v>
      </c>
      <c r="O20" s="31"/>
      <c r="P20" s="37" t="s">
        <v>57</v>
      </c>
      <c r="Q20" s="113"/>
      <c r="R20" s="114"/>
      <c r="S20" s="37" t="b">
        <f t="shared" ref="S20:S23" si="4">P20=Q20</f>
        <v>0</v>
      </c>
      <c r="T20" s="31"/>
      <c r="U20" s="31"/>
      <c r="V20" s="31"/>
      <c r="W20" s="31"/>
      <c r="X20" s="31"/>
      <c r="Y20" s="31"/>
      <c r="Z20" s="31"/>
      <c r="AA20" s="31"/>
      <c r="AB20" s="31"/>
    </row>
    <row r="21" spans="1:28" ht="33.75">
      <c r="A21" s="31"/>
      <c r="B21" s="37" t="s">
        <v>41</v>
      </c>
      <c r="C21" s="76" t="s">
        <v>41</v>
      </c>
      <c r="D21" s="37" t="b">
        <f t="shared" si="0"/>
        <v>0</v>
      </c>
      <c r="E21" s="73"/>
      <c r="F21" s="32"/>
      <c r="G21" s="31"/>
      <c r="H21" s="31"/>
      <c r="I21" s="31"/>
      <c r="J21" s="45">
        <f>COUNTIF($N$9:N21,FALSE())</f>
        <v>6</v>
      </c>
      <c r="K21" s="37" t="s">
        <v>58</v>
      </c>
      <c r="L21" s="76" t="s">
        <v>96</v>
      </c>
      <c r="M21" s="41">
        <v>0.3</v>
      </c>
      <c r="N21" s="37" t="b">
        <f t="shared" si="3"/>
        <v>0</v>
      </c>
      <c r="O21" s="31"/>
      <c r="P21" s="37" t="s">
        <v>58</v>
      </c>
      <c r="Q21" s="113"/>
      <c r="R21" s="114"/>
      <c r="S21" s="37" t="b">
        <f t="shared" si="4"/>
        <v>0</v>
      </c>
      <c r="T21" s="31"/>
      <c r="U21" s="31"/>
      <c r="V21" s="31"/>
      <c r="W21" s="31"/>
      <c r="X21" s="31"/>
      <c r="Y21" s="31"/>
      <c r="Z21" s="31"/>
      <c r="AA21" s="31"/>
      <c r="AB21" s="31"/>
    </row>
    <row r="22" spans="1:28" ht="33.75">
      <c r="A22" s="31"/>
      <c r="B22" s="37" t="s">
        <v>42</v>
      </c>
      <c r="C22" s="76" t="s">
        <v>42</v>
      </c>
      <c r="D22" s="37" t="b">
        <f t="shared" si="0"/>
        <v>0</v>
      </c>
      <c r="E22" s="73"/>
      <c r="F22" s="32"/>
      <c r="G22" s="31"/>
      <c r="H22" s="31"/>
      <c r="I22" s="31"/>
      <c r="J22" s="45">
        <f>COUNTIF($N$9:N22,FALSE())</f>
        <v>6</v>
      </c>
      <c r="K22" s="37" t="s">
        <v>59</v>
      </c>
      <c r="L22" s="76" t="s">
        <v>59</v>
      </c>
      <c r="M22" s="41"/>
      <c r="N22" s="37" t="b">
        <f t="shared" si="3"/>
        <v>1</v>
      </c>
      <c r="O22" s="31"/>
      <c r="P22" s="37" t="s">
        <v>59</v>
      </c>
      <c r="Q22" s="113"/>
      <c r="R22" s="114"/>
      <c r="S22" s="37" t="b">
        <f t="shared" si="4"/>
        <v>0</v>
      </c>
      <c r="T22" s="31"/>
      <c r="U22" s="31"/>
      <c r="V22" s="31"/>
      <c r="W22" s="31"/>
      <c r="X22" s="31"/>
      <c r="Y22" s="31"/>
      <c r="Z22" s="31"/>
      <c r="AA22" s="31"/>
      <c r="AB22" s="31"/>
    </row>
    <row r="23" spans="1:28" ht="33.75">
      <c r="A23" s="31"/>
      <c r="B23" s="37" t="s">
        <v>8</v>
      </c>
      <c r="C23" s="76" t="s">
        <v>8</v>
      </c>
      <c r="D23" s="37" t="b">
        <f t="shared" si="0"/>
        <v>0</v>
      </c>
      <c r="E23" s="73"/>
      <c r="F23" s="32"/>
      <c r="G23" s="31"/>
      <c r="H23" s="31"/>
      <c r="I23" s="31"/>
      <c r="J23" s="45">
        <f>COUNTIF($N$9:N23,FALSE())</f>
        <v>6</v>
      </c>
      <c r="K23" s="37" t="s">
        <v>60</v>
      </c>
      <c r="L23" s="76" t="s">
        <v>60</v>
      </c>
      <c r="M23" s="41"/>
      <c r="N23" s="37" t="b">
        <f t="shared" si="3"/>
        <v>1</v>
      </c>
      <c r="O23" s="31"/>
      <c r="P23" s="37" t="s">
        <v>60</v>
      </c>
      <c r="Q23" s="115"/>
      <c r="R23" s="116"/>
      <c r="S23" s="37" t="b">
        <f t="shared" si="4"/>
        <v>0</v>
      </c>
      <c r="T23" s="31"/>
      <c r="U23" s="31"/>
      <c r="V23" s="31"/>
      <c r="W23" s="31"/>
      <c r="X23" s="31"/>
      <c r="Y23" s="31"/>
      <c r="Z23" s="31"/>
      <c r="AA23" s="31"/>
      <c r="AB23" s="31"/>
    </row>
    <row r="24" spans="1:28" ht="33.75">
      <c r="A24" s="31"/>
      <c r="B24" s="37" t="s">
        <v>9</v>
      </c>
      <c r="C24" s="76" t="s">
        <v>9</v>
      </c>
      <c r="D24" s="37" t="b">
        <f t="shared" si="0"/>
        <v>0</v>
      </c>
      <c r="E24" s="73"/>
      <c r="F24" s="32"/>
      <c r="G24" s="31"/>
      <c r="H24" s="31"/>
      <c r="I24" s="31"/>
      <c r="J24" s="45"/>
      <c r="K24" s="32"/>
      <c r="L24" s="32"/>
      <c r="M24" s="58">
        <f>SUM(M19:M23)</f>
        <v>1</v>
      </c>
      <c r="N24" s="51" t="b">
        <f>M24=1</f>
        <v>1</v>
      </c>
      <c r="O24" s="31"/>
      <c r="P24" s="32"/>
      <c r="Q24" s="32"/>
      <c r="R24" s="32"/>
      <c r="S24" s="32"/>
      <c r="T24" s="31"/>
      <c r="U24" s="31"/>
      <c r="V24" s="31"/>
      <c r="W24" s="31"/>
      <c r="X24" s="31"/>
      <c r="Y24" s="31"/>
      <c r="Z24" s="31"/>
      <c r="AA24" s="31"/>
      <c r="AB24" s="31"/>
    </row>
    <row r="25" spans="1:28" ht="33.75">
      <c r="A25" s="31"/>
      <c r="B25" s="37" t="s">
        <v>10</v>
      </c>
      <c r="C25" s="76" t="s">
        <v>10</v>
      </c>
      <c r="D25" s="37" t="b">
        <f t="shared" si="0"/>
        <v>0</v>
      </c>
      <c r="E25" s="73"/>
      <c r="F25" s="32"/>
      <c r="G25" s="31"/>
      <c r="H25" s="31"/>
      <c r="I25" s="31"/>
      <c r="J25" s="31"/>
      <c r="K25" s="31"/>
      <c r="L25" s="31"/>
      <c r="M25" s="31"/>
      <c r="N25" s="31"/>
      <c r="O25" s="31"/>
      <c r="P25" s="31"/>
      <c r="Q25" s="31"/>
      <c r="R25" s="31"/>
      <c r="S25" s="31"/>
      <c r="T25" s="31"/>
      <c r="U25" s="31"/>
      <c r="V25" s="31"/>
      <c r="W25" s="31"/>
      <c r="X25" s="31"/>
      <c r="Y25" s="31"/>
      <c r="Z25" s="31"/>
      <c r="AA25" s="31"/>
      <c r="AB25" s="31"/>
    </row>
    <row r="26" spans="1:28" ht="33.75">
      <c r="A26" s="31"/>
      <c r="B26" s="37" t="s">
        <v>11</v>
      </c>
      <c r="C26" s="76" t="s">
        <v>11</v>
      </c>
      <c r="D26" s="37" t="b">
        <f t="shared" si="0"/>
        <v>0</v>
      </c>
      <c r="E26" s="73"/>
      <c r="F26" s="32"/>
      <c r="G26" s="31"/>
      <c r="H26" s="31"/>
      <c r="I26" s="31"/>
      <c r="J26" s="31"/>
      <c r="K26" s="32"/>
      <c r="L26" s="32"/>
      <c r="M26" s="32"/>
      <c r="N26" s="32"/>
      <c r="O26" s="32"/>
      <c r="P26" s="32"/>
      <c r="Q26" s="32"/>
      <c r="R26" s="32"/>
      <c r="S26" s="32"/>
      <c r="T26" s="31"/>
      <c r="U26" s="31"/>
      <c r="V26" s="31"/>
      <c r="W26" s="31"/>
      <c r="X26" s="31"/>
      <c r="Y26" s="31"/>
      <c r="Z26" s="31"/>
      <c r="AA26" s="31"/>
      <c r="AB26" s="31"/>
    </row>
    <row r="27" spans="1:28" ht="33.75">
      <c r="A27" s="31"/>
      <c r="B27" s="37" t="s">
        <v>12</v>
      </c>
      <c r="C27" s="76" t="s">
        <v>12</v>
      </c>
      <c r="D27" s="37" t="b">
        <f t="shared" si="0"/>
        <v>0</v>
      </c>
      <c r="E27" s="73"/>
      <c r="F27" s="32"/>
      <c r="G27" s="31"/>
      <c r="H27" s="31"/>
      <c r="I27" s="31"/>
      <c r="J27" s="31"/>
      <c r="K27" s="44" t="s">
        <v>69</v>
      </c>
      <c r="L27" s="50" t="s">
        <v>55</v>
      </c>
      <c r="M27" s="48"/>
      <c r="N27" s="117" t="s">
        <v>66</v>
      </c>
      <c r="O27" s="117"/>
      <c r="P27" s="117"/>
      <c r="Q27" s="117"/>
      <c r="R27" s="117"/>
      <c r="S27" s="32"/>
      <c r="T27" s="31"/>
      <c r="U27" s="31"/>
      <c r="V27" s="31"/>
      <c r="W27" s="31"/>
      <c r="X27" s="31"/>
      <c r="Y27" s="31"/>
      <c r="Z27" s="31"/>
      <c r="AA27" s="31"/>
      <c r="AB27" s="31"/>
    </row>
    <row r="28" spans="1:28" ht="33.75">
      <c r="A28" s="31"/>
      <c r="B28" s="37" t="s">
        <v>13</v>
      </c>
      <c r="C28" s="76" t="s">
        <v>13</v>
      </c>
      <c r="D28" s="37" t="b">
        <f t="shared" si="0"/>
        <v>0</v>
      </c>
      <c r="E28" s="73"/>
      <c r="F28" s="32"/>
      <c r="G28" s="31"/>
      <c r="H28" s="45">
        <f>K28</f>
        <v>1</v>
      </c>
      <c r="I28" s="45" t="b">
        <f>J28=L28</f>
        <v>0</v>
      </c>
      <c r="J28" s="45" t="s">
        <v>56</v>
      </c>
      <c r="K28" s="49">
        <f>INDEX($J$9:$L$23,MATCH(L28,$L$9:$L$23,0),1)</f>
        <v>1</v>
      </c>
      <c r="L28" s="111" t="str">
        <f>L9</f>
        <v>Cost Reduction</v>
      </c>
      <c r="M28" s="112"/>
      <c r="N28" s="119" t="s">
        <v>71</v>
      </c>
      <c r="O28" s="119"/>
      <c r="P28" s="119"/>
      <c r="Q28" s="119"/>
      <c r="R28" s="119"/>
      <c r="S28" s="51">
        <f>K28</f>
        <v>1</v>
      </c>
      <c r="T28" s="53" t="str">
        <f>L28&amp;" - "&amp;N28</f>
        <v>Cost Reduction - Lorem ipso factum</v>
      </c>
      <c r="U28" s="31"/>
      <c r="V28" s="31"/>
      <c r="W28" s="31"/>
      <c r="X28" s="31"/>
      <c r="Y28" s="31"/>
      <c r="Z28" s="31"/>
      <c r="AA28" s="31"/>
      <c r="AB28" s="31"/>
    </row>
    <row r="29" spans="1:28" ht="33.75">
      <c r="A29" s="31"/>
      <c r="B29" s="37" t="s">
        <v>14</v>
      </c>
      <c r="C29" s="76" t="s">
        <v>14</v>
      </c>
      <c r="D29" s="37" t="b">
        <f t="shared" si="0"/>
        <v>0</v>
      </c>
      <c r="E29" s="73"/>
      <c r="F29" s="32"/>
      <c r="G29" s="31"/>
      <c r="H29" s="45">
        <f t="shared" ref="H29:H37" si="5">K29</f>
        <v>2</v>
      </c>
      <c r="I29" s="45" t="b">
        <f t="shared" ref="I29:I37" si="6">J29=L29</f>
        <v>0</v>
      </c>
      <c r="J29" s="45" t="s">
        <v>57</v>
      </c>
      <c r="K29" s="49">
        <f t="shared" ref="K29:K37" si="7">INDEX($J$9:$L$23,MATCH(L29,$L$9:$L$23,0),1)</f>
        <v>2</v>
      </c>
      <c r="L29" s="111" t="str">
        <f t="shared" ref="L29:L32" si="8">L10</f>
        <v>Revenue Optimization</v>
      </c>
      <c r="M29" s="112"/>
      <c r="N29" s="119" t="s">
        <v>71</v>
      </c>
      <c r="O29" s="119"/>
      <c r="P29" s="119"/>
      <c r="Q29" s="119"/>
      <c r="R29" s="119"/>
      <c r="S29" s="51">
        <f t="shared" ref="S29:S37" si="9">K29</f>
        <v>2</v>
      </c>
      <c r="T29" s="53" t="str">
        <f t="shared" ref="T29:T37" si="10">L29&amp;" - "&amp;N29</f>
        <v>Revenue Optimization - Lorem ipso factum</v>
      </c>
      <c r="U29" s="31"/>
      <c r="V29" s="31"/>
      <c r="W29" s="31"/>
      <c r="X29" s="31"/>
      <c r="Y29" s="31"/>
      <c r="Z29" s="31"/>
      <c r="AA29" s="31"/>
      <c r="AB29" s="31"/>
    </row>
    <row r="30" spans="1:28" ht="33.75">
      <c r="A30" s="31"/>
      <c r="B30" s="37" t="s">
        <v>15</v>
      </c>
      <c r="C30" s="76" t="s">
        <v>15</v>
      </c>
      <c r="D30" s="37" t="b">
        <f t="shared" si="0"/>
        <v>0</v>
      </c>
      <c r="E30" s="73"/>
      <c r="F30" s="32"/>
      <c r="G30" s="31"/>
      <c r="H30" s="45">
        <f t="shared" si="5"/>
        <v>3</v>
      </c>
      <c r="I30" s="45" t="b">
        <f t="shared" si="6"/>
        <v>0</v>
      </c>
      <c r="J30" s="45" t="s">
        <v>58</v>
      </c>
      <c r="K30" s="49">
        <f t="shared" si="7"/>
        <v>3</v>
      </c>
      <c r="L30" s="111" t="str">
        <f t="shared" si="8"/>
        <v>CX Improvement</v>
      </c>
      <c r="M30" s="112"/>
      <c r="N30" s="119" t="s">
        <v>71</v>
      </c>
      <c r="O30" s="119"/>
      <c r="P30" s="119"/>
      <c r="Q30" s="119"/>
      <c r="R30" s="119"/>
      <c r="S30" s="51">
        <f t="shared" si="9"/>
        <v>3</v>
      </c>
      <c r="T30" s="53" t="str">
        <f t="shared" si="10"/>
        <v>CX Improvement - Lorem ipso factum</v>
      </c>
      <c r="U30" s="31"/>
      <c r="V30" s="31"/>
      <c r="W30" s="31"/>
      <c r="X30" s="31"/>
      <c r="Y30" s="31"/>
      <c r="Z30" s="31"/>
      <c r="AA30" s="31"/>
      <c r="AB30" s="31"/>
    </row>
    <row r="31" spans="1:28" ht="33.75">
      <c r="A31" s="31"/>
      <c r="B31" s="37" t="s">
        <v>16</v>
      </c>
      <c r="C31" s="76" t="s">
        <v>16</v>
      </c>
      <c r="D31" s="37" t="b">
        <f t="shared" si="0"/>
        <v>0</v>
      </c>
      <c r="E31" s="73"/>
      <c r="F31" s="32"/>
      <c r="G31" s="31"/>
      <c r="H31" s="45">
        <f t="shared" si="5"/>
        <v>3</v>
      </c>
      <c r="I31" s="45" t="b">
        <f t="shared" si="6"/>
        <v>1</v>
      </c>
      <c r="J31" s="45" t="s">
        <v>59</v>
      </c>
      <c r="K31" s="49">
        <f t="shared" si="7"/>
        <v>3</v>
      </c>
      <c r="L31" s="111" t="str">
        <f t="shared" si="8"/>
        <v>D4</v>
      </c>
      <c r="M31" s="112"/>
      <c r="N31" s="118"/>
      <c r="O31" s="118"/>
      <c r="P31" s="118"/>
      <c r="Q31" s="118"/>
      <c r="R31" s="118"/>
      <c r="S31" s="51">
        <f t="shared" si="9"/>
        <v>3</v>
      </c>
      <c r="T31" s="53" t="str">
        <f t="shared" si="10"/>
        <v xml:space="preserve">D4 - </v>
      </c>
      <c r="U31" s="31"/>
      <c r="V31" s="31"/>
      <c r="W31" s="31"/>
      <c r="X31" s="31"/>
      <c r="Y31" s="31"/>
      <c r="Z31" s="31"/>
      <c r="AA31" s="31"/>
      <c r="AB31" s="31"/>
    </row>
    <row r="32" spans="1:28">
      <c r="A32" s="31"/>
      <c r="B32" s="32"/>
      <c r="C32" s="33"/>
      <c r="D32" s="32"/>
      <c r="E32" s="32"/>
      <c r="F32" s="32"/>
      <c r="G32" s="31"/>
      <c r="H32" s="45">
        <f t="shared" si="5"/>
        <v>3</v>
      </c>
      <c r="I32" s="45" t="b">
        <f t="shared" si="6"/>
        <v>1</v>
      </c>
      <c r="J32" s="45" t="s">
        <v>60</v>
      </c>
      <c r="K32" s="49">
        <f t="shared" si="7"/>
        <v>3</v>
      </c>
      <c r="L32" s="111" t="str">
        <f t="shared" si="8"/>
        <v>D5</v>
      </c>
      <c r="M32" s="112"/>
      <c r="N32" s="118"/>
      <c r="O32" s="118"/>
      <c r="P32" s="118"/>
      <c r="Q32" s="118"/>
      <c r="R32" s="118"/>
      <c r="S32" s="51">
        <f t="shared" si="9"/>
        <v>3</v>
      </c>
      <c r="T32" s="53" t="str">
        <f t="shared" si="10"/>
        <v xml:space="preserve">D5 - </v>
      </c>
      <c r="U32" s="31"/>
      <c r="V32" s="31"/>
      <c r="W32" s="31"/>
      <c r="X32" s="31"/>
      <c r="Y32" s="31"/>
      <c r="Z32" s="31"/>
      <c r="AA32" s="31"/>
      <c r="AB32" s="31"/>
    </row>
    <row r="33" spans="1:28">
      <c r="A33" s="31"/>
      <c r="B33" s="32"/>
      <c r="C33" s="75" t="s">
        <v>43</v>
      </c>
      <c r="D33" s="32"/>
      <c r="E33" s="74" t="s">
        <v>44</v>
      </c>
      <c r="F33" s="32"/>
      <c r="G33" s="31"/>
      <c r="H33" s="45">
        <f t="shared" si="5"/>
        <v>4</v>
      </c>
      <c r="I33" s="45" t="b">
        <f t="shared" si="6"/>
        <v>0</v>
      </c>
      <c r="J33" s="45" t="s">
        <v>56</v>
      </c>
      <c r="K33" s="49">
        <f t="shared" si="7"/>
        <v>4</v>
      </c>
      <c r="L33" s="111" t="str">
        <f>L19</f>
        <v>Technical</v>
      </c>
      <c r="M33" s="112"/>
      <c r="N33" s="119" t="s">
        <v>71</v>
      </c>
      <c r="O33" s="119"/>
      <c r="P33" s="119"/>
      <c r="Q33" s="119"/>
      <c r="R33" s="119"/>
      <c r="S33" s="51">
        <f t="shared" si="9"/>
        <v>4</v>
      </c>
      <c r="T33" s="53" t="str">
        <f t="shared" si="10"/>
        <v>Technical - Lorem ipso factum</v>
      </c>
      <c r="U33" s="31"/>
      <c r="V33" s="31"/>
      <c r="W33" s="31"/>
      <c r="X33" s="31"/>
      <c r="Y33" s="31"/>
      <c r="Z33" s="31"/>
      <c r="AA33" s="31"/>
      <c r="AB33" s="31"/>
    </row>
    <row r="34" spans="1:28">
      <c r="A34" s="31"/>
      <c r="B34" s="33" t="s">
        <v>45</v>
      </c>
      <c r="C34" s="76" t="s">
        <v>108</v>
      </c>
      <c r="D34" s="32"/>
      <c r="E34" s="73"/>
      <c r="F34" s="32"/>
      <c r="G34" s="31"/>
      <c r="H34" s="45">
        <f t="shared" si="5"/>
        <v>5</v>
      </c>
      <c r="I34" s="45" t="b">
        <f t="shared" si="6"/>
        <v>0</v>
      </c>
      <c r="J34" s="45" t="s">
        <v>57</v>
      </c>
      <c r="K34" s="49">
        <f t="shared" si="7"/>
        <v>5</v>
      </c>
      <c r="L34" s="111" t="str">
        <f t="shared" ref="L34:L37" si="11">L20</f>
        <v>Internal</v>
      </c>
      <c r="M34" s="112"/>
      <c r="N34" s="119" t="s">
        <v>71</v>
      </c>
      <c r="O34" s="119"/>
      <c r="P34" s="119"/>
      <c r="Q34" s="119"/>
      <c r="R34" s="119"/>
      <c r="S34" s="51">
        <f t="shared" si="9"/>
        <v>5</v>
      </c>
      <c r="T34" s="53" t="str">
        <f t="shared" si="10"/>
        <v>Internal - Lorem ipso factum</v>
      </c>
      <c r="U34" s="31"/>
      <c r="V34" s="31"/>
      <c r="W34" s="31"/>
      <c r="X34" s="31"/>
      <c r="Y34" s="31"/>
      <c r="Z34" s="31"/>
      <c r="AA34" s="31"/>
      <c r="AB34" s="31"/>
    </row>
    <row r="35" spans="1:28">
      <c r="A35" s="31"/>
      <c r="B35" s="33" t="s">
        <v>46</v>
      </c>
      <c r="C35" s="76" t="s">
        <v>46</v>
      </c>
      <c r="D35" s="32"/>
      <c r="E35" s="73"/>
      <c r="F35" s="32"/>
      <c r="G35" s="31"/>
      <c r="H35" s="45">
        <f t="shared" si="5"/>
        <v>6</v>
      </c>
      <c r="I35" s="45" t="b">
        <f t="shared" si="6"/>
        <v>0</v>
      </c>
      <c r="J35" s="45" t="s">
        <v>58</v>
      </c>
      <c r="K35" s="49">
        <f t="shared" si="7"/>
        <v>6</v>
      </c>
      <c r="L35" s="111" t="str">
        <f t="shared" si="11"/>
        <v>External</v>
      </c>
      <c r="M35" s="112"/>
      <c r="N35" s="119" t="s">
        <v>71</v>
      </c>
      <c r="O35" s="119"/>
      <c r="P35" s="119"/>
      <c r="Q35" s="119"/>
      <c r="R35" s="119"/>
      <c r="S35" s="51">
        <f t="shared" si="9"/>
        <v>6</v>
      </c>
      <c r="T35" s="53" t="str">
        <f t="shared" si="10"/>
        <v>External - Lorem ipso factum</v>
      </c>
      <c r="U35" s="31"/>
      <c r="V35" s="31"/>
      <c r="W35" s="31"/>
      <c r="X35" s="31"/>
      <c r="Y35" s="31"/>
      <c r="Z35" s="31"/>
      <c r="AA35" s="31"/>
      <c r="AB35" s="31"/>
    </row>
    <row r="36" spans="1:28">
      <c r="A36" s="31"/>
      <c r="B36" s="33" t="s">
        <v>47</v>
      </c>
      <c r="C36" s="76" t="s">
        <v>47</v>
      </c>
      <c r="D36" s="32"/>
      <c r="E36" s="73"/>
      <c r="F36" s="32"/>
      <c r="G36" s="31"/>
      <c r="H36" s="45">
        <f t="shared" si="5"/>
        <v>3</v>
      </c>
      <c r="I36" s="45" t="b">
        <f t="shared" si="6"/>
        <v>1</v>
      </c>
      <c r="J36" s="45" t="s">
        <v>59</v>
      </c>
      <c r="K36" s="49">
        <f t="shared" si="7"/>
        <v>3</v>
      </c>
      <c r="L36" s="111" t="str">
        <f t="shared" si="11"/>
        <v>D4</v>
      </c>
      <c r="M36" s="112"/>
      <c r="N36" s="118"/>
      <c r="O36" s="118"/>
      <c r="P36" s="118"/>
      <c r="Q36" s="118"/>
      <c r="R36" s="118"/>
      <c r="S36" s="51">
        <f t="shared" si="9"/>
        <v>3</v>
      </c>
      <c r="T36" s="53" t="str">
        <f t="shared" si="10"/>
        <v xml:space="preserve">D4 - </v>
      </c>
      <c r="U36" s="31"/>
      <c r="V36" s="31"/>
      <c r="W36" s="31"/>
      <c r="X36" s="31"/>
      <c r="Y36" s="31"/>
      <c r="Z36" s="31"/>
      <c r="AA36" s="31"/>
      <c r="AB36" s="31"/>
    </row>
    <row r="37" spans="1:28">
      <c r="A37" s="31"/>
      <c r="B37" s="33" t="s">
        <v>48</v>
      </c>
      <c r="C37" s="76" t="s">
        <v>48</v>
      </c>
      <c r="D37" s="32"/>
      <c r="E37" s="73"/>
      <c r="F37" s="32"/>
      <c r="G37" s="31"/>
      <c r="H37" s="45">
        <f t="shared" si="5"/>
        <v>3</v>
      </c>
      <c r="I37" s="45" t="b">
        <f t="shared" si="6"/>
        <v>1</v>
      </c>
      <c r="J37" s="45" t="s">
        <v>60</v>
      </c>
      <c r="K37" s="49">
        <f t="shared" si="7"/>
        <v>3</v>
      </c>
      <c r="L37" s="111" t="str">
        <f t="shared" si="11"/>
        <v>D5</v>
      </c>
      <c r="M37" s="112"/>
      <c r="N37" s="118"/>
      <c r="O37" s="118"/>
      <c r="P37" s="118"/>
      <c r="Q37" s="118"/>
      <c r="R37" s="118"/>
      <c r="S37" s="51">
        <f t="shared" si="9"/>
        <v>3</v>
      </c>
      <c r="T37" s="53" t="str">
        <f t="shared" si="10"/>
        <v xml:space="preserve">D5 - </v>
      </c>
      <c r="U37" s="31"/>
      <c r="V37" s="31"/>
      <c r="W37" s="31"/>
      <c r="X37" s="31"/>
      <c r="Y37" s="31"/>
      <c r="Z37" s="31"/>
      <c r="AA37" s="31"/>
      <c r="AB37" s="31"/>
    </row>
    <row r="38" spans="1:28">
      <c r="A38" s="31"/>
      <c r="B38" s="33" t="s">
        <v>98</v>
      </c>
      <c r="C38" s="76" t="s">
        <v>98</v>
      </c>
      <c r="D38" s="32"/>
      <c r="E38" s="73"/>
      <c r="F38" s="32"/>
      <c r="G38" s="31"/>
      <c r="H38" s="31"/>
      <c r="I38" s="31"/>
      <c r="J38" s="31"/>
      <c r="K38" s="32"/>
      <c r="L38" s="32"/>
      <c r="M38" s="32"/>
      <c r="N38" s="32"/>
      <c r="O38" s="32"/>
      <c r="P38" s="32"/>
      <c r="Q38" s="32"/>
      <c r="R38" s="32"/>
      <c r="S38" s="32"/>
      <c r="T38" s="31"/>
      <c r="U38" s="31"/>
      <c r="V38" s="31"/>
      <c r="W38" s="31"/>
      <c r="X38" s="31"/>
      <c r="Y38" s="31"/>
      <c r="Z38" s="31"/>
      <c r="AA38" s="31"/>
      <c r="AB38" s="31"/>
    </row>
    <row r="39" spans="1:28">
      <c r="A39" s="31"/>
      <c r="B39" s="33" t="s">
        <v>99</v>
      </c>
      <c r="C39" s="76" t="s">
        <v>99</v>
      </c>
      <c r="D39" s="32"/>
      <c r="E39" s="73"/>
      <c r="F39" s="32"/>
      <c r="G39" s="31"/>
      <c r="H39" s="31"/>
      <c r="I39" s="31"/>
      <c r="J39" s="31"/>
      <c r="K39" s="31"/>
      <c r="L39" s="31"/>
      <c r="M39" s="31"/>
      <c r="N39" s="31"/>
      <c r="O39" s="31"/>
      <c r="P39" s="31"/>
      <c r="Q39" s="31"/>
      <c r="R39" s="31"/>
      <c r="S39" s="31"/>
      <c r="T39" s="31"/>
      <c r="U39" s="31"/>
      <c r="V39" s="31"/>
      <c r="W39" s="31"/>
      <c r="X39" s="31"/>
      <c r="Y39" s="31"/>
      <c r="Z39" s="31"/>
      <c r="AA39" s="31"/>
      <c r="AB39" s="31"/>
    </row>
    <row r="40" spans="1:28">
      <c r="A40" s="31"/>
      <c r="B40" s="32"/>
      <c r="C40" s="33"/>
      <c r="D40" s="32"/>
      <c r="E40" s="32"/>
      <c r="F40" s="32"/>
      <c r="G40" s="31"/>
      <c r="H40" s="31"/>
      <c r="I40" s="31"/>
      <c r="J40" s="31"/>
      <c r="K40" s="31"/>
      <c r="L40" s="31"/>
      <c r="M40" s="31"/>
      <c r="N40" s="31"/>
      <c r="O40" s="31"/>
      <c r="P40" s="31"/>
      <c r="Q40" s="31"/>
      <c r="R40" s="31"/>
      <c r="S40" s="31"/>
      <c r="T40" s="31"/>
      <c r="U40" s="31"/>
      <c r="V40" s="31"/>
      <c r="W40" s="31"/>
      <c r="X40" s="31"/>
      <c r="Y40" s="31"/>
      <c r="Z40" s="31"/>
      <c r="AA40" s="31"/>
      <c r="AB40" s="31"/>
    </row>
    <row r="41" spans="1:28">
      <c r="A41" s="31"/>
      <c r="B41" s="31"/>
      <c r="C41" s="42"/>
      <c r="D41" s="31"/>
      <c r="E41" s="31"/>
      <c r="F41" s="31"/>
      <c r="G41" s="31"/>
      <c r="H41" s="31"/>
      <c r="I41" s="31"/>
      <c r="J41" s="31"/>
      <c r="K41" s="31"/>
      <c r="L41" s="31"/>
      <c r="M41" s="31"/>
      <c r="N41" s="31"/>
      <c r="O41" s="31"/>
      <c r="P41" s="31"/>
      <c r="Q41" s="31"/>
      <c r="R41" s="31"/>
      <c r="S41" s="31"/>
      <c r="T41" s="31"/>
      <c r="U41" s="31"/>
      <c r="V41" s="31"/>
      <c r="W41" s="31"/>
      <c r="X41" s="31"/>
      <c r="Y41" s="31"/>
      <c r="Z41" s="31"/>
      <c r="AA41" s="31"/>
      <c r="AB41" s="31"/>
    </row>
    <row r="42" spans="1:28">
      <c r="A42" s="31"/>
      <c r="B42" s="31"/>
      <c r="C42" s="42"/>
      <c r="D42" s="31"/>
      <c r="E42" s="31"/>
      <c r="F42" s="31"/>
      <c r="G42" s="31"/>
      <c r="H42" s="31"/>
      <c r="I42" s="31"/>
      <c r="J42" s="31"/>
      <c r="K42" s="31"/>
      <c r="L42" s="31"/>
      <c r="M42" s="31"/>
      <c r="N42" s="31"/>
      <c r="O42" s="31"/>
      <c r="P42" s="31"/>
      <c r="Q42" s="31"/>
      <c r="R42" s="31"/>
      <c r="S42" s="31"/>
      <c r="T42" s="31"/>
      <c r="U42" s="31"/>
      <c r="V42" s="31"/>
      <c r="W42" s="31"/>
      <c r="X42" s="31"/>
      <c r="Y42" s="31"/>
      <c r="Z42" s="31"/>
      <c r="AA42" s="31"/>
      <c r="AB42" s="31"/>
    </row>
    <row r="43" spans="1:28">
      <c r="A43" s="31"/>
      <c r="B43" s="31"/>
      <c r="C43" s="42"/>
      <c r="D43" s="31"/>
      <c r="E43" s="31"/>
      <c r="F43" s="31"/>
      <c r="G43" s="31"/>
      <c r="H43" s="31"/>
      <c r="I43" s="31"/>
      <c r="J43" s="31"/>
      <c r="K43" s="31"/>
      <c r="L43" s="31"/>
      <c r="M43" s="31"/>
      <c r="N43" s="31"/>
      <c r="O43" s="31"/>
      <c r="P43" s="31"/>
      <c r="Q43" s="31"/>
      <c r="R43" s="31"/>
      <c r="S43" s="31"/>
      <c r="T43" s="31"/>
      <c r="U43" s="31"/>
      <c r="V43" s="31"/>
      <c r="W43" s="31"/>
      <c r="X43" s="31"/>
      <c r="Y43" s="31"/>
      <c r="Z43" s="31"/>
      <c r="AA43" s="31"/>
      <c r="AB43" s="31"/>
    </row>
    <row r="44" spans="1:28">
      <c r="A44" s="31"/>
      <c r="B44" s="31"/>
      <c r="C44" s="42"/>
      <c r="D44" s="31"/>
      <c r="E44" s="31"/>
      <c r="F44" s="31"/>
      <c r="G44" s="31"/>
      <c r="H44" s="31"/>
      <c r="I44" s="31"/>
      <c r="J44" s="31"/>
      <c r="K44" s="31"/>
      <c r="L44" s="31"/>
      <c r="M44" s="31"/>
      <c r="N44" s="31"/>
      <c r="O44" s="31"/>
      <c r="P44" s="31"/>
      <c r="Q44" s="31"/>
      <c r="R44" s="31"/>
      <c r="S44" s="31"/>
      <c r="T44" s="31"/>
      <c r="U44" s="31"/>
      <c r="V44" s="31"/>
      <c r="W44" s="31"/>
      <c r="X44" s="31"/>
      <c r="Y44" s="31"/>
      <c r="Z44" s="31"/>
      <c r="AA44" s="31"/>
      <c r="AB44" s="31"/>
    </row>
    <row r="45" spans="1:28">
      <c r="A45" s="31"/>
      <c r="B45" s="31"/>
      <c r="C45" s="42"/>
      <c r="D45" s="31"/>
      <c r="E45" s="31"/>
      <c r="F45" s="31"/>
      <c r="G45" s="31"/>
      <c r="H45" s="31"/>
      <c r="I45" s="31"/>
      <c r="J45" s="31"/>
      <c r="K45" s="31"/>
      <c r="L45" s="31"/>
      <c r="M45" s="31"/>
      <c r="N45" s="31"/>
      <c r="O45" s="31"/>
      <c r="P45" s="31"/>
      <c r="Q45" s="31"/>
      <c r="R45" s="31"/>
      <c r="S45" s="31"/>
      <c r="T45" s="31"/>
      <c r="U45" s="31"/>
      <c r="V45" s="31"/>
      <c r="W45" s="31"/>
      <c r="X45" s="31"/>
      <c r="Y45" s="31"/>
      <c r="Z45" s="31"/>
      <c r="AA45" s="31"/>
      <c r="AB45" s="31"/>
    </row>
    <row r="46" spans="1:28">
      <c r="A46" s="31"/>
      <c r="B46" s="31"/>
      <c r="C46" s="42"/>
      <c r="D46" s="31"/>
      <c r="E46" s="31"/>
      <c r="F46" s="31"/>
      <c r="G46" s="31"/>
      <c r="H46" s="31"/>
      <c r="I46" s="31"/>
      <c r="J46" s="31"/>
      <c r="K46" s="31"/>
      <c r="L46" s="31"/>
      <c r="M46" s="31"/>
      <c r="N46" s="31"/>
      <c r="O46" s="31"/>
      <c r="P46" s="31"/>
      <c r="Q46" s="31"/>
      <c r="R46" s="31"/>
      <c r="S46" s="31"/>
      <c r="T46" s="31"/>
      <c r="U46" s="31"/>
      <c r="V46" s="31"/>
      <c r="W46" s="31"/>
      <c r="X46" s="31"/>
      <c r="Y46" s="31"/>
      <c r="Z46" s="31"/>
      <c r="AA46" s="31"/>
      <c r="AB46" s="31"/>
    </row>
    <row r="47" spans="1:28">
      <c r="A47" s="31"/>
      <c r="B47" s="31"/>
      <c r="C47" s="42"/>
      <c r="D47" s="31"/>
      <c r="E47" s="31"/>
      <c r="F47" s="31"/>
      <c r="G47" s="31"/>
      <c r="H47" s="31"/>
      <c r="I47" s="31"/>
      <c r="J47" s="31"/>
      <c r="K47" s="31"/>
      <c r="L47" s="31"/>
      <c r="M47" s="31"/>
      <c r="N47" s="31"/>
      <c r="O47" s="31"/>
      <c r="P47" s="31"/>
      <c r="Q47" s="31"/>
      <c r="R47" s="31"/>
      <c r="S47" s="31"/>
      <c r="T47" s="31"/>
      <c r="U47" s="31"/>
      <c r="V47" s="31"/>
      <c r="W47" s="31"/>
      <c r="X47" s="31"/>
      <c r="Y47" s="31"/>
      <c r="Z47" s="31"/>
      <c r="AA47" s="31"/>
      <c r="AB47" s="31"/>
    </row>
    <row r="48" spans="1:28">
      <c r="A48" s="31"/>
      <c r="B48" s="31"/>
      <c r="C48" s="42"/>
      <c r="D48" s="31"/>
      <c r="E48" s="31"/>
      <c r="F48" s="31"/>
      <c r="G48" s="31"/>
      <c r="H48" s="31"/>
      <c r="I48" s="31"/>
      <c r="J48" s="31"/>
      <c r="K48" s="31"/>
      <c r="L48" s="31"/>
      <c r="M48" s="31"/>
      <c r="N48" s="31"/>
      <c r="O48" s="31"/>
      <c r="P48" s="31"/>
      <c r="Q48" s="31"/>
      <c r="R48" s="31"/>
      <c r="S48" s="31"/>
      <c r="T48" s="31"/>
      <c r="U48" s="31"/>
      <c r="V48" s="31"/>
      <c r="W48" s="31"/>
      <c r="X48" s="31"/>
      <c r="Y48" s="31"/>
      <c r="Z48" s="31"/>
      <c r="AA48" s="31"/>
      <c r="AB48" s="31"/>
    </row>
    <row r="49" spans="1:28">
      <c r="A49" s="31"/>
      <c r="B49" s="31"/>
      <c r="C49" s="42"/>
      <c r="D49" s="31"/>
      <c r="E49" s="31"/>
      <c r="F49" s="31"/>
      <c r="G49" s="31"/>
      <c r="H49" s="31"/>
      <c r="I49" s="31"/>
      <c r="J49" s="31"/>
      <c r="K49" s="31"/>
      <c r="L49" s="31"/>
      <c r="M49" s="31"/>
      <c r="N49" s="31"/>
      <c r="O49" s="31"/>
      <c r="P49" s="31"/>
      <c r="Q49" s="31"/>
      <c r="R49" s="31"/>
      <c r="S49" s="31"/>
      <c r="T49" s="31"/>
      <c r="U49" s="31"/>
      <c r="V49" s="31"/>
      <c r="W49" s="31"/>
      <c r="X49" s="31"/>
      <c r="Y49" s="31"/>
      <c r="Z49" s="31"/>
      <c r="AA49" s="31"/>
      <c r="AB49" s="31"/>
    </row>
    <row r="50" spans="1:28">
      <c r="A50" s="31"/>
      <c r="B50" s="31"/>
      <c r="C50" s="42"/>
      <c r="D50" s="31"/>
      <c r="E50" s="31"/>
      <c r="F50" s="31"/>
      <c r="G50" s="31"/>
      <c r="H50" s="31"/>
      <c r="I50" s="31"/>
      <c r="J50" s="31"/>
      <c r="K50" s="31"/>
      <c r="L50" s="31"/>
      <c r="M50" s="31"/>
      <c r="N50" s="31"/>
      <c r="O50" s="31"/>
      <c r="P50" s="31"/>
      <c r="Q50" s="31"/>
      <c r="R50" s="31"/>
      <c r="S50" s="31"/>
      <c r="T50" s="31"/>
      <c r="U50" s="31"/>
      <c r="V50" s="31"/>
      <c r="W50" s="31"/>
      <c r="X50" s="31"/>
      <c r="Y50" s="31"/>
      <c r="Z50" s="31"/>
      <c r="AA50" s="31"/>
      <c r="AB50" s="31"/>
    </row>
    <row r="51" spans="1:28">
      <c r="A51" s="31"/>
      <c r="B51" s="31"/>
      <c r="C51" s="42"/>
      <c r="D51" s="31"/>
      <c r="E51" s="31"/>
      <c r="F51" s="31"/>
      <c r="G51" s="31"/>
      <c r="H51" s="31"/>
      <c r="I51" s="31"/>
      <c r="J51" s="31"/>
      <c r="K51" s="31"/>
      <c r="L51" s="31"/>
      <c r="M51" s="31"/>
      <c r="N51" s="31"/>
      <c r="O51" s="31"/>
      <c r="P51" s="31"/>
      <c r="Q51" s="31"/>
      <c r="R51" s="31"/>
      <c r="S51" s="31"/>
      <c r="T51" s="31"/>
      <c r="U51" s="31"/>
      <c r="V51" s="31"/>
      <c r="W51" s="31"/>
      <c r="X51" s="31"/>
      <c r="Y51" s="31"/>
      <c r="Z51" s="31"/>
      <c r="AA51" s="31"/>
      <c r="AB51" s="31"/>
    </row>
    <row r="52" spans="1:28">
      <c r="A52" s="31"/>
      <c r="B52" s="31"/>
      <c r="C52" s="42"/>
      <c r="D52" s="31"/>
      <c r="E52" s="31"/>
      <c r="F52" s="31"/>
      <c r="G52" s="31"/>
      <c r="H52" s="31"/>
      <c r="I52" s="31"/>
      <c r="J52" s="31"/>
      <c r="K52" s="31"/>
      <c r="L52" s="31"/>
      <c r="M52" s="31"/>
      <c r="N52" s="31"/>
      <c r="O52" s="31"/>
      <c r="P52" s="31"/>
      <c r="Q52" s="31"/>
      <c r="R52" s="31"/>
      <c r="S52" s="31"/>
      <c r="T52" s="31"/>
      <c r="U52" s="31"/>
      <c r="V52" s="31"/>
      <c r="W52" s="31"/>
      <c r="X52" s="31"/>
      <c r="Y52" s="31"/>
      <c r="Z52" s="31"/>
      <c r="AA52" s="31"/>
      <c r="AB52" s="31"/>
    </row>
    <row r="53" spans="1:28">
      <c r="A53" s="31"/>
      <c r="B53" s="31"/>
      <c r="C53" s="42"/>
      <c r="D53" s="31"/>
      <c r="E53" s="31"/>
      <c r="F53" s="31"/>
      <c r="G53" s="31"/>
      <c r="H53" s="31"/>
      <c r="I53" s="31"/>
      <c r="J53" s="31"/>
      <c r="K53" s="31"/>
      <c r="L53" s="31"/>
      <c r="M53" s="31"/>
      <c r="N53" s="31"/>
      <c r="O53" s="31"/>
      <c r="P53" s="31"/>
      <c r="Q53" s="31"/>
      <c r="R53" s="31"/>
      <c r="S53" s="31"/>
      <c r="T53" s="31"/>
      <c r="U53" s="31"/>
      <c r="V53" s="31"/>
      <c r="W53" s="31"/>
      <c r="X53" s="31"/>
      <c r="Y53" s="31"/>
      <c r="Z53" s="31"/>
      <c r="AA53" s="31"/>
      <c r="AB53" s="31"/>
    </row>
    <row r="54" spans="1:28">
      <c r="A54" s="31"/>
      <c r="B54" s="31"/>
      <c r="C54" s="42"/>
      <c r="D54" s="31"/>
      <c r="E54" s="31"/>
      <c r="F54" s="31"/>
      <c r="G54" s="31"/>
      <c r="H54" s="31"/>
      <c r="I54" s="31"/>
      <c r="J54" s="31"/>
      <c r="K54" s="31"/>
      <c r="L54" s="31"/>
      <c r="M54" s="31"/>
      <c r="N54" s="31"/>
      <c r="O54" s="31"/>
      <c r="P54" s="31"/>
      <c r="Q54" s="31"/>
      <c r="R54" s="31"/>
      <c r="S54" s="31"/>
      <c r="T54" s="31"/>
      <c r="U54" s="31"/>
      <c r="V54" s="31"/>
      <c r="W54" s="31"/>
      <c r="X54" s="31"/>
      <c r="Y54" s="31"/>
      <c r="Z54" s="31"/>
      <c r="AA54" s="31"/>
      <c r="AB54" s="31"/>
    </row>
    <row r="55" spans="1:28">
      <c r="A55" s="31"/>
      <c r="B55" s="31"/>
      <c r="C55" s="42"/>
      <c r="D55" s="31"/>
      <c r="E55" s="31"/>
      <c r="F55" s="31"/>
      <c r="G55" s="31"/>
      <c r="H55" s="31"/>
      <c r="I55" s="31"/>
      <c r="J55" s="31"/>
      <c r="K55" s="31"/>
      <c r="L55" s="31"/>
      <c r="M55" s="31"/>
      <c r="N55" s="31"/>
      <c r="O55" s="31"/>
      <c r="P55" s="31"/>
      <c r="Q55" s="31"/>
      <c r="R55" s="31"/>
      <c r="S55" s="31"/>
      <c r="T55" s="31"/>
      <c r="U55" s="31"/>
      <c r="V55" s="31"/>
      <c r="W55" s="31"/>
      <c r="X55" s="31"/>
      <c r="Y55" s="31"/>
      <c r="Z55" s="31"/>
      <c r="AA55" s="31"/>
      <c r="AB55" s="31"/>
    </row>
    <row r="56" spans="1:28">
      <c r="A56" s="31"/>
      <c r="B56" s="31"/>
      <c r="C56" s="42"/>
      <c r="D56" s="31"/>
      <c r="E56" s="31"/>
      <c r="F56" s="31"/>
      <c r="G56" s="31"/>
      <c r="H56" s="31"/>
      <c r="I56" s="31"/>
      <c r="J56" s="31"/>
      <c r="K56" s="31"/>
      <c r="L56" s="31"/>
      <c r="M56" s="31"/>
      <c r="N56" s="31"/>
      <c r="O56" s="31"/>
      <c r="P56" s="31"/>
      <c r="Q56" s="31"/>
      <c r="R56" s="31"/>
      <c r="S56" s="31"/>
      <c r="T56" s="31"/>
      <c r="U56" s="31"/>
      <c r="V56" s="31"/>
      <c r="W56" s="31"/>
      <c r="X56" s="31"/>
      <c r="Y56" s="31"/>
      <c r="Z56" s="31"/>
      <c r="AA56" s="31"/>
      <c r="AB56" s="31"/>
    </row>
    <row r="57" spans="1:28">
      <c r="A57" s="31"/>
      <c r="B57" s="31"/>
      <c r="C57" s="42"/>
      <c r="D57" s="31"/>
      <c r="E57" s="31"/>
      <c r="F57" s="31"/>
      <c r="G57" s="31"/>
      <c r="H57" s="31"/>
      <c r="I57" s="31"/>
      <c r="J57" s="31"/>
      <c r="K57" s="31"/>
      <c r="L57" s="31"/>
      <c r="M57" s="31"/>
      <c r="N57" s="31"/>
      <c r="O57" s="31"/>
      <c r="P57" s="31"/>
      <c r="Q57" s="31"/>
      <c r="R57" s="31"/>
      <c r="S57" s="31"/>
      <c r="T57" s="31"/>
      <c r="U57" s="31"/>
      <c r="V57" s="31"/>
      <c r="W57" s="31"/>
      <c r="X57" s="31"/>
      <c r="Y57" s="31"/>
      <c r="Z57" s="31"/>
      <c r="AA57" s="31"/>
      <c r="AB57" s="31"/>
    </row>
    <row r="58" spans="1:28">
      <c r="A58" s="31"/>
      <c r="B58" s="31"/>
      <c r="C58" s="42"/>
      <c r="D58" s="31"/>
      <c r="E58" s="31"/>
      <c r="F58" s="31"/>
      <c r="G58" s="31"/>
      <c r="H58" s="31"/>
      <c r="I58" s="31"/>
      <c r="J58" s="31"/>
      <c r="K58" s="31"/>
      <c r="L58" s="31"/>
      <c r="M58" s="31"/>
      <c r="N58" s="31"/>
      <c r="O58" s="31"/>
      <c r="P58" s="31"/>
      <c r="Q58" s="31"/>
      <c r="R58" s="31"/>
      <c r="S58" s="31"/>
      <c r="T58" s="31"/>
      <c r="U58" s="31"/>
      <c r="V58" s="31"/>
      <c r="W58" s="31"/>
      <c r="X58" s="31"/>
      <c r="Y58" s="31"/>
      <c r="Z58" s="31"/>
      <c r="AA58" s="31"/>
      <c r="AB58" s="31"/>
    </row>
    <row r="59" spans="1:28">
      <c r="A59" s="31"/>
      <c r="B59" s="31"/>
      <c r="C59" s="42"/>
      <c r="D59" s="31"/>
      <c r="E59" s="31"/>
      <c r="F59" s="31"/>
      <c r="G59" s="31"/>
      <c r="H59" s="31"/>
      <c r="I59" s="31"/>
      <c r="J59" s="31"/>
      <c r="K59" s="31"/>
      <c r="L59" s="31"/>
      <c r="M59" s="31"/>
      <c r="N59" s="31"/>
      <c r="O59" s="31"/>
      <c r="P59" s="31"/>
      <c r="Q59" s="31"/>
      <c r="R59" s="31"/>
      <c r="S59" s="31"/>
      <c r="T59" s="31"/>
      <c r="U59" s="31"/>
      <c r="V59" s="31"/>
      <c r="W59" s="31"/>
      <c r="X59" s="31"/>
      <c r="Y59" s="31"/>
      <c r="Z59" s="31"/>
      <c r="AA59" s="31"/>
      <c r="AB59" s="31"/>
    </row>
    <row r="60" spans="1:28">
      <c r="A60" s="31"/>
      <c r="B60" s="31"/>
      <c r="C60" s="42"/>
      <c r="D60" s="31"/>
      <c r="E60" s="31"/>
      <c r="F60" s="31"/>
      <c r="G60" s="31"/>
      <c r="H60" s="31"/>
      <c r="I60" s="31"/>
      <c r="J60" s="31"/>
      <c r="K60" s="31"/>
      <c r="L60" s="31"/>
      <c r="M60" s="31"/>
      <c r="N60" s="31"/>
      <c r="O60" s="31"/>
      <c r="P60" s="31"/>
      <c r="Q60" s="31"/>
      <c r="R60" s="31"/>
      <c r="S60" s="31"/>
      <c r="T60" s="31"/>
      <c r="U60" s="31"/>
      <c r="V60" s="31"/>
      <c r="W60" s="31"/>
      <c r="X60" s="31"/>
      <c r="Y60" s="31"/>
      <c r="Z60" s="31"/>
      <c r="AA60" s="31"/>
      <c r="AB60" s="31"/>
    </row>
    <row r="61" spans="1:28">
      <c r="A61" s="31"/>
      <c r="B61" s="31"/>
      <c r="C61" s="42"/>
      <c r="D61" s="31"/>
      <c r="E61" s="31"/>
      <c r="F61" s="31"/>
      <c r="G61" s="31"/>
      <c r="H61" s="31"/>
      <c r="I61" s="31"/>
      <c r="J61" s="31"/>
      <c r="K61" s="31"/>
      <c r="L61" s="31"/>
      <c r="M61" s="31"/>
      <c r="N61" s="31"/>
      <c r="O61" s="31"/>
      <c r="P61" s="31"/>
      <c r="Q61" s="31"/>
      <c r="R61" s="31"/>
      <c r="S61" s="31"/>
      <c r="T61" s="31"/>
      <c r="U61" s="31"/>
      <c r="V61" s="31"/>
      <c r="W61" s="31"/>
      <c r="X61" s="31"/>
      <c r="Y61" s="31"/>
      <c r="Z61" s="31"/>
      <c r="AA61" s="31"/>
      <c r="AB61" s="31"/>
    </row>
    <row r="62" spans="1:28">
      <c r="A62" s="31"/>
      <c r="B62" s="31"/>
      <c r="C62" s="42"/>
      <c r="D62" s="31"/>
      <c r="E62" s="31"/>
      <c r="F62" s="31"/>
      <c r="G62" s="31"/>
      <c r="H62" s="31"/>
      <c r="I62" s="31"/>
      <c r="J62" s="31"/>
      <c r="K62" s="31"/>
      <c r="L62" s="31"/>
      <c r="M62" s="31"/>
      <c r="N62" s="31"/>
      <c r="O62" s="31"/>
      <c r="P62" s="31"/>
      <c r="Q62" s="31"/>
      <c r="R62" s="31"/>
      <c r="S62" s="31"/>
      <c r="T62" s="31"/>
      <c r="U62" s="31"/>
      <c r="V62" s="31"/>
      <c r="W62" s="31"/>
      <c r="X62" s="31"/>
      <c r="Y62" s="31"/>
      <c r="Z62" s="31"/>
      <c r="AA62" s="31"/>
      <c r="AB62" s="31"/>
    </row>
    <row r="63" spans="1:28">
      <c r="A63" s="31"/>
      <c r="B63" s="31"/>
      <c r="C63" s="42"/>
      <c r="D63" s="31"/>
      <c r="E63" s="31"/>
      <c r="F63" s="31"/>
      <c r="G63" s="31"/>
      <c r="H63" s="31"/>
      <c r="I63" s="31"/>
      <c r="J63" s="31"/>
      <c r="K63" s="31"/>
      <c r="L63" s="31"/>
      <c r="M63" s="31"/>
      <c r="N63" s="31"/>
      <c r="O63" s="31"/>
      <c r="P63" s="31"/>
      <c r="Q63" s="31"/>
      <c r="R63" s="31"/>
      <c r="S63" s="31"/>
      <c r="T63" s="31"/>
      <c r="U63" s="31"/>
      <c r="V63" s="31"/>
      <c r="W63" s="31"/>
      <c r="X63" s="31"/>
      <c r="Y63" s="31"/>
      <c r="Z63" s="31"/>
      <c r="AA63" s="31"/>
      <c r="AB63" s="31"/>
    </row>
    <row r="64" spans="1:28">
      <c r="A64" s="31"/>
      <c r="B64" s="31"/>
      <c r="C64" s="42"/>
      <c r="D64" s="31"/>
      <c r="E64" s="31"/>
      <c r="F64" s="31"/>
      <c r="G64" s="31"/>
      <c r="H64" s="31"/>
      <c r="I64" s="31"/>
      <c r="J64" s="31"/>
      <c r="K64" s="31"/>
      <c r="L64" s="31"/>
      <c r="M64" s="31"/>
      <c r="N64" s="31"/>
      <c r="O64" s="31"/>
      <c r="P64" s="31"/>
      <c r="Q64" s="31"/>
      <c r="R64" s="31"/>
      <c r="S64" s="31"/>
      <c r="T64" s="31"/>
      <c r="U64" s="31"/>
      <c r="V64" s="31"/>
      <c r="W64" s="31"/>
      <c r="X64" s="31"/>
      <c r="Y64" s="31"/>
      <c r="Z64" s="31"/>
      <c r="AA64" s="31"/>
      <c r="AB64" s="31"/>
    </row>
    <row r="65" spans="1:28">
      <c r="A65" s="31"/>
      <c r="B65" s="31"/>
      <c r="C65" s="42"/>
      <c r="D65" s="31"/>
      <c r="E65" s="31"/>
      <c r="F65" s="31"/>
      <c r="G65" s="31"/>
      <c r="H65" s="31"/>
      <c r="I65" s="31"/>
      <c r="J65" s="31"/>
      <c r="K65" s="31"/>
      <c r="L65" s="31"/>
      <c r="M65" s="31"/>
      <c r="N65" s="31"/>
      <c r="O65" s="31"/>
      <c r="P65" s="31"/>
      <c r="Q65" s="31"/>
      <c r="R65" s="31"/>
      <c r="S65" s="31"/>
      <c r="T65" s="31"/>
      <c r="U65" s="31"/>
      <c r="V65" s="31"/>
      <c r="W65" s="31"/>
      <c r="X65" s="31"/>
      <c r="Y65" s="31"/>
      <c r="Z65" s="31"/>
      <c r="AA65" s="31"/>
      <c r="AB65" s="31"/>
    </row>
    <row r="66" spans="1:28">
      <c r="A66" s="31"/>
      <c r="B66" s="31"/>
      <c r="C66" s="42"/>
      <c r="D66" s="31"/>
      <c r="E66" s="31"/>
      <c r="F66" s="31"/>
      <c r="G66" s="31"/>
      <c r="H66" s="31"/>
      <c r="I66" s="31"/>
      <c r="J66" s="31"/>
      <c r="K66" s="31"/>
      <c r="L66" s="31"/>
      <c r="M66" s="31"/>
      <c r="N66" s="31"/>
      <c r="O66" s="31"/>
      <c r="P66" s="31"/>
      <c r="Q66" s="31"/>
      <c r="R66" s="31"/>
      <c r="S66" s="31"/>
      <c r="T66" s="31"/>
      <c r="U66" s="31"/>
      <c r="V66" s="31"/>
      <c r="W66" s="31"/>
      <c r="X66" s="31"/>
      <c r="Y66" s="31"/>
      <c r="Z66" s="31"/>
      <c r="AA66" s="31"/>
      <c r="AB66" s="31"/>
    </row>
    <row r="67" spans="1:28">
      <c r="A67" s="31"/>
      <c r="B67" s="31"/>
      <c r="C67" s="42"/>
      <c r="D67" s="31"/>
      <c r="E67" s="31"/>
      <c r="F67" s="31"/>
      <c r="G67" s="31"/>
      <c r="H67" s="31"/>
      <c r="I67" s="31"/>
      <c r="J67" s="31"/>
      <c r="K67" s="31"/>
      <c r="L67" s="31"/>
      <c r="M67" s="31"/>
      <c r="N67" s="31"/>
      <c r="O67" s="31"/>
      <c r="P67" s="31"/>
      <c r="Q67" s="31"/>
      <c r="R67" s="31"/>
      <c r="S67" s="31"/>
      <c r="T67" s="31"/>
      <c r="U67" s="31"/>
      <c r="V67" s="31"/>
      <c r="W67" s="31"/>
      <c r="X67" s="31"/>
      <c r="Y67" s="31"/>
      <c r="Z67" s="31"/>
      <c r="AA67" s="31"/>
      <c r="AB67" s="31"/>
    </row>
    <row r="68" spans="1:28">
      <c r="A68" s="31"/>
      <c r="B68" s="31"/>
      <c r="C68" s="42"/>
      <c r="D68" s="31"/>
      <c r="E68" s="31"/>
      <c r="F68" s="31"/>
      <c r="G68" s="31"/>
      <c r="H68" s="31"/>
      <c r="I68" s="31"/>
      <c r="J68" s="31"/>
      <c r="K68" s="31"/>
      <c r="L68" s="31"/>
      <c r="M68" s="31"/>
      <c r="N68" s="31"/>
      <c r="O68" s="31"/>
      <c r="P68" s="31"/>
      <c r="Q68" s="31"/>
      <c r="R68" s="31"/>
      <c r="S68" s="31"/>
      <c r="T68" s="31"/>
      <c r="U68" s="31"/>
      <c r="V68" s="31"/>
      <c r="W68" s="31"/>
      <c r="X68" s="31"/>
      <c r="Y68" s="31"/>
      <c r="Z68" s="31"/>
      <c r="AA68" s="31"/>
      <c r="AB68" s="31"/>
    </row>
    <row r="69" spans="1:28">
      <c r="A69" s="31"/>
      <c r="B69" s="31"/>
      <c r="C69" s="42"/>
      <c r="D69" s="31"/>
      <c r="E69" s="31"/>
      <c r="F69" s="31"/>
      <c r="G69" s="31"/>
      <c r="H69" s="31"/>
      <c r="I69" s="31"/>
      <c r="J69" s="31"/>
      <c r="K69" s="31"/>
      <c r="L69" s="31"/>
      <c r="M69" s="31"/>
      <c r="N69" s="31"/>
      <c r="O69" s="31"/>
      <c r="P69" s="31"/>
      <c r="Q69" s="31"/>
      <c r="R69" s="31"/>
      <c r="S69" s="31"/>
      <c r="T69" s="31"/>
      <c r="U69" s="31"/>
      <c r="V69" s="31"/>
      <c r="W69" s="31"/>
      <c r="X69" s="31"/>
      <c r="Y69" s="31"/>
      <c r="Z69" s="31"/>
      <c r="AA69" s="31"/>
      <c r="AB69" s="31"/>
    </row>
    <row r="70" spans="1:28">
      <c r="A70" s="31"/>
      <c r="B70" s="31"/>
      <c r="C70" s="42"/>
      <c r="D70" s="31"/>
      <c r="E70" s="31"/>
      <c r="F70" s="31"/>
      <c r="G70" s="31"/>
      <c r="H70" s="31"/>
      <c r="I70" s="31"/>
      <c r="J70" s="31"/>
      <c r="K70" s="31"/>
      <c r="L70" s="31"/>
      <c r="M70" s="31"/>
      <c r="N70" s="31"/>
      <c r="O70" s="31"/>
      <c r="P70" s="31"/>
      <c r="Q70" s="31"/>
      <c r="R70" s="31"/>
      <c r="S70" s="31"/>
      <c r="T70" s="31"/>
      <c r="U70" s="31"/>
      <c r="V70" s="31"/>
      <c r="W70" s="31"/>
      <c r="X70" s="31"/>
      <c r="Y70" s="31"/>
      <c r="Z70" s="31"/>
      <c r="AA70" s="31"/>
      <c r="AB70" s="31"/>
    </row>
    <row r="71" spans="1:28">
      <c r="A71" s="31"/>
      <c r="B71" s="31"/>
      <c r="C71" s="42"/>
      <c r="D71" s="31"/>
      <c r="E71" s="31"/>
      <c r="F71" s="31"/>
      <c r="G71" s="31"/>
      <c r="H71" s="31"/>
      <c r="I71" s="31"/>
      <c r="J71" s="31"/>
      <c r="K71" s="31"/>
      <c r="L71" s="31"/>
      <c r="M71" s="31"/>
      <c r="N71" s="31"/>
      <c r="O71" s="31"/>
      <c r="P71" s="31"/>
      <c r="Q71" s="31"/>
      <c r="R71" s="31"/>
      <c r="S71" s="31"/>
      <c r="T71" s="31"/>
      <c r="U71" s="31"/>
      <c r="V71" s="31"/>
      <c r="W71" s="31"/>
      <c r="X71" s="31"/>
      <c r="Y71" s="31"/>
      <c r="Z71" s="31"/>
      <c r="AA71" s="31"/>
      <c r="AB71" s="31"/>
    </row>
    <row r="72" spans="1:28">
      <c r="A72" s="31"/>
      <c r="B72" s="31"/>
      <c r="C72" s="42"/>
      <c r="D72" s="31"/>
      <c r="E72" s="31"/>
      <c r="F72" s="31"/>
      <c r="G72" s="31"/>
      <c r="H72" s="31"/>
      <c r="I72" s="31"/>
      <c r="J72" s="31"/>
      <c r="K72" s="31"/>
      <c r="L72" s="31"/>
      <c r="M72" s="31"/>
      <c r="N72" s="31"/>
      <c r="O72" s="31"/>
      <c r="P72" s="31"/>
      <c r="Q72" s="31"/>
      <c r="R72" s="31"/>
      <c r="S72" s="31"/>
      <c r="T72" s="31"/>
      <c r="U72" s="31"/>
      <c r="V72" s="31"/>
      <c r="W72" s="31"/>
      <c r="X72" s="31"/>
      <c r="Y72" s="31"/>
      <c r="Z72" s="31"/>
      <c r="AA72" s="31"/>
      <c r="AB72" s="31"/>
    </row>
    <row r="73" spans="1:28">
      <c r="A73" s="31"/>
      <c r="B73" s="31"/>
      <c r="C73" s="42"/>
      <c r="D73" s="31"/>
      <c r="E73" s="31"/>
      <c r="F73" s="31"/>
      <c r="G73" s="31"/>
      <c r="H73" s="31"/>
      <c r="I73" s="31"/>
      <c r="J73" s="31"/>
      <c r="K73" s="31"/>
      <c r="L73" s="31"/>
      <c r="M73" s="31"/>
      <c r="N73" s="31"/>
      <c r="O73" s="31"/>
      <c r="P73" s="31"/>
      <c r="Q73" s="31"/>
      <c r="R73" s="31"/>
      <c r="S73" s="31"/>
      <c r="T73" s="31"/>
      <c r="U73" s="31"/>
      <c r="V73" s="31"/>
      <c r="W73" s="31"/>
      <c r="X73" s="31"/>
      <c r="Y73" s="31"/>
      <c r="Z73" s="31"/>
      <c r="AA73" s="31"/>
      <c r="AB73" s="31"/>
    </row>
    <row r="74" spans="1:28">
      <c r="A74" s="31"/>
      <c r="B74" s="31"/>
      <c r="C74" s="42"/>
      <c r="D74" s="31"/>
      <c r="E74" s="31"/>
      <c r="F74" s="31"/>
      <c r="G74" s="31"/>
      <c r="H74" s="31"/>
      <c r="I74" s="31"/>
      <c r="J74" s="31"/>
      <c r="K74" s="31"/>
      <c r="L74" s="31"/>
      <c r="M74" s="31"/>
      <c r="N74" s="31"/>
      <c r="O74" s="31"/>
      <c r="P74" s="31"/>
      <c r="Q74" s="31"/>
      <c r="R74" s="31"/>
      <c r="S74" s="31"/>
      <c r="T74" s="31"/>
      <c r="U74" s="31"/>
      <c r="V74" s="31"/>
      <c r="W74" s="31"/>
      <c r="X74" s="31"/>
      <c r="Y74" s="31"/>
      <c r="Z74" s="31"/>
      <c r="AA74" s="31"/>
      <c r="AB74" s="31"/>
    </row>
    <row r="75" spans="1:28">
      <c r="A75" s="31"/>
      <c r="B75" s="31"/>
      <c r="C75" s="42"/>
      <c r="D75" s="31"/>
      <c r="E75" s="31"/>
      <c r="F75" s="31"/>
      <c r="G75" s="31"/>
      <c r="H75" s="31"/>
      <c r="I75" s="31"/>
      <c r="J75" s="31"/>
      <c r="K75" s="31"/>
      <c r="L75" s="31"/>
      <c r="M75" s="31"/>
      <c r="N75" s="31"/>
      <c r="O75" s="31"/>
      <c r="P75" s="31"/>
      <c r="Q75" s="31"/>
      <c r="R75" s="31"/>
      <c r="S75" s="31"/>
      <c r="T75" s="31"/>
      <c r="U75" s="31"/>
      <c r="V75" s="31"/>
      <c r="W75" s="31"/>
      <c r="X75" s="31"/>
      <c r="Y75" s="31"/>
      <c r="Z75" s="31"/>
      <c r="AA75" s="31"/>
      <c r="AB75" s="31"/>
    </row>
    <row r="76" spans="1:28">
      <c r="A76" s="31"/>
      <c r="B76" s="31"/>
      <c r="C76" s="42"/>
      <c r="D76" s="31"/>
      <c r="E76" s="31"/>
      <c r="F76" s="31"/>
      <c r="G76" s="31"/>
      <c r="H76" s="31"/>
      <c r="I76" s="31"/>
      <c r="J76" s="31"/>
      <c r="K76" s="31"/>
      <c r="L76" s="31"/>
      <c r="M76" s="31"/>
      <c r="N76" s="31"/>
      <c r="O76" s="31"/>
      <c r="P76" s="31"/>
      <c r="Q76" s="31"/>
      <c r="R76" s="31"/>
      <c r="S76" s="31"/>
      <c r="T76" s="31"/>
      <c r="U76" s="31"/>
      <c r="V76" s="31"/>
      <c r="W76" s="31"/>
      <c r="X76" s="31"/>
      <c r="Y76" s="31"/>
      <c r="Z76" s="31"/>
      <c r="AA76" s="31"/>
      <c r="AB76" s="31"/>
    </row>
    <row r="77" spans="1:28">
      <c r="A77" s="31"/>
      <c r="B77" s="31"/>
      <c r="C77" s="42"/>
      <c r="D77" s="31"/>
      <c r="E77" s="31"/>
      <c r="F77" s="31"/>
      <c r="G77" s="31"/>
      <c r="H77" s="31"/>
      <c r="I77" s="31"/>
      <c r="J77" s="31"/>
      <c r="K77" s="31"/>
      <c r="L77" s="31"/>
      <c r="M77" s="31"/>
      <c r="N77" s="31"/>
      <c r="O77" s="31"/>
      <c r="P77" s="31"/>
      <c r="Q77" s="31"/>
      <c r="R77" s="31"/>
      <c r="S77" s="31"/>
      <c r="T77" s="31"/>
      <c r="U77" s="31"/>
      <c r="V77" s="31"/>
      <c r="W77" s="31"/>
      <c r="X77" s="31"/>
      <c r="Y77" s="31"/>
      <c r="Z77" s="31"/>
      <c r="AA77" s="31"/>
      <c r="AB77" s="31"/>
    </row>
    <row r="78" spans="1:28">
      <c r="A78" s="31"/>
      <c r="B78" s="31"/>
      <c r="C78" s="42"/>
      <c r="D78" s="31"/>
      <c r="E78" s="31"/>
      <c r="F78" s="31"/>
      <c r="G78" s="31"/>
      <c r="H78" s="31"/>
      <c r="I78" s="31"/>
      <c r="J78" s="31"/>
      <c r="K78" s="31"/>
      <c r="L78" s="31"/>
      <c r="M78" s="31"/>
      <c r="N78" s="31"/>
      <c r="O78" s="31"/>
      <c r="P78" s="31"/>
      <c r="Q78" s="31"/>
      <c r="R78" s="31"/>
      <c r="S78" s="31"/>
      <c r="T78" s="31"/>
      <c r="U78" s="31"/>
      <c r="V78" s="31"/>
      <c r="W78" s="31"/>
      <c r="X78" s="31"/>
      <c r="Y78" s="31"/>
      <c r="Z78" s="31"/>
      <c r="AA78" s="31"/>
      <c r="AB78" s="31"/>
    </row>
    <row r="79" spans="1:28">
      <c r="A79" s="31"/>
      <c r="B79" s="31"/>
      <c r="C79" s="42"/>
      <c r="D79" s="31"/>
      <c r="E79" s="31"/>
      <c r="F79" s="31"/>
      <c r="G79" s="31"/>
      <c r="H79" s="31"/>
      <c r="I79" s="31"/>
      <c r="J79" s="31"/>
      <c r="K79" s="31"/>
      <c r="L79" s="31"/>
      <c r="M79" s="31"/>
      <c r="N79" s="31"/>
      <c r="O79" s="31"/>
      <c r="P79" s="31"/>
      <c r="Q79" s="31"/>
      <c r="R79" s="31"/>
      <c r="S79" s="31"/>
      <c r="T79" s="31"/>
      <c r="U79" s="31"/>
      <c r="V79" s="31"/>
      <c r="W79" s="31"/>
      <c r="X79" s="31"/>
      <c r="Y79" s="31"/>
      <c r="Z79" s="31"/>
      <c r="AA79" s="31"/>
      <c r="AB79" s="31"/>
    </row>
    <row r="80" spans="1:28">
      <c r="A80" s="31"/>
      <c r="B80" s="31"/>
      <c r="C80" s="42"/>
      <c r="D80" s="31"/>
      <c r="E80" s="31"/>
      <c r="F80" s="31"/>
      <c r="G80" s="31"/>
      <c r="H80" s="31"/>
      <c r="I80" s="31"/>
      <c r="J80" s="31"/>
      <c r="K80" s="31"/>
      <c r="L80" s="31"/>
      <c r="M80" s="31"/>
      <c r="N80" s="31"/>
      <c r="O80" s="31"/>
      <c r="P80" s="31"/>
      <c r="Q80" s="31"/>
      <c r="R80" s="31"/>
      <c r="S80" s="31"/>
      <c r="T80" s="31"/>
      <c r="U80" s="31"/>
      <c r="V80" s="31"/>
      <c r="W80" s="31"/>
      <c r="X80" s="31"/>
      <c r="Y80" s="31"/>
      <c r="Z80" s="31"/>
      <c r="AA80" s="31"/>
      <c r="AB80" s="31"/>
    </row>
    <row r="81" spans="1:28">
      <c r="A81" s="31"/>
      <c r="B81" s="31"/>
      <c r="C81" s="42"/>
      <c r="D81" s="31"/>
      <c r="E81" s="31"/>
      <c r="F81" s="31"/>
      <c r="G81" s="31"/>
      <c r="H81" s="31"/>
      <c r="I81" s="31"/>
      <c r="J81" s="31"/>
      <c r="K81" s="31"/>
      <c r="L81" s="31"/>
      <c r="M81" s="31"/>
      <c r="N81" s="31"/>
      <c r="O81" s="31"/>
      <c r="P81" s="31"/>
      <c r="Q81" s="31"/>
      <c r="R81" s="31"/>
      <c r="S81" s="31"/>
      <c r="T81" s="31"/>
      <c r="U81" s="31"/>
      <c r="V81" s="31"/>
      <c r="W81" s="31"/>
      <c r="X81" s="31"/>
      <c r="Y81" s="31"/>
      <c r="Z81" s="31"/>
      <c r="AA81" s="31"/>
      <c r="AB81" s="31"/>
    </row>
    <row r="82" spans="1:28">
      <c r="A82" s="31"/>
      <c r="B82" s="31"/>
      <c r="C82" s="42"/>
      <c r="D82" s="31"/>
      <c r="E82" s="31"/>
      <c r="F82" s="31"/>
      <c r="G82" s="31"/>
      <c r="H82" s="31"/>
      <c r="I82" s="31"/>
      <c r="J82" s="31"/>
      <c r="K82" s="31"/>
      <c r="L82" s="31"/>
      <c r="M82" s="31"/>
      <c r="N82" s="31"/>
      <c r="O82" s="31"/>
      <c r="P82" s="31"/>
      <c r="Q82" s="31"/>
      <c r="R82" s="31"/>
      <c r="S82" s="31"/>
      <c r="T82" s="31"/>
      <c r="U82" s="31"/>
      <c r="V82" s="31"/>
      <c r="W82" s="31"/>
      <c r="X82" s="31"/>
      <c r="Y82" s="31"/>
      <c r="Z82" s="31"/>
      <c r="AA82" s="31"/>
      <c r="AB82" s="31"/>
    </row>
    <row r="83" spans="1:28">
      <c r="A83" s="31"/>
      <c r="B83" s="31"/>
      <c r="C83" s="42"/>
      <c r="D83" s="31"/>
      <c r="E83" s="31"/>
      <c r="F83" s="31"/>
      <c r="G83" s="31"/>
      <c r="H83" s="31"/>
      <c r="I83" s="31"/>
      <c r="J83" s="31"/>
      <c r="K83" s="31"/>
      <c r="L83" s="31"/>
      <c r="M83" s="31"/>
      <c r="N83" s="31"/>
      <c r="O83" s="31"/>
      <c r="P83" s="31"/>
      <c r="Q83" s="31"/>
      <c r="R83" s="31"/>
      <c r="S83" s="31"/>
      <c r="T83" s="31"/>
      <c r="U83" s="31"/>
      <c r="V83" s="31"/>
      <c r="W83" s="31"/>
      <c r="X83" s="31"/>
      <c r="Y83" s="31"/>
      <c r="Z83" s="31"/>
      <c r="AA83" s="31"/>
      <c r="AB83" s="31"/>
    </row>
    <row r="84" spans="1:28">
      <c r="A84" s="31"/>
      <c r="B84" s="31"/>
      <c r="C84" s="42"/>
      <c r="D84" s="31"/>
      <c r="E84" s="31"/>
      <c r="F84" s="31"/>
      <c r="G84" s="31"/>
      <c r="H84" s="31"/>
      <c r="I84" s="31"/>
      <c r="J84" s="31"/>
      <c r="K84" s="31"/>
      <c r="L84" s="31"/>
      <c r="M84" s="31"/>
      <c r="N84" s="31"/>
      <c r="O84" s="31"/>
      <c r="P84" s="31"/>
      <c r="Q84" s="31"/>
      <c r="R84" s="31"/>
      <c r="S84" s="31"/>
      <c r="T84" s="31"/>
      <c r="U84" s="31"/>
      <c r="V84" s="31"/>
      <c r="W84" s="31"/>
      <c r="X84" s="31"/>
      <c r="Y84" s="31"/>
      <c r="Z84" s="31"/>
      <c r="AA84" s="31"/>
      <c r="AB84" s="31"/>
    </row>
    <row r="85" spans="1:28">
      <c r="A85" s="31"/>
      <c r="B85" s="31"/>
      <c r="C85" s="42"/>
      <c r="D85" s="31"/>
      <c r="E85" s="31"/>
      <c r="F85" s="31"/>
      <c r="G85" s="31"/>
      <c r="H85" s="31"/>
      <c r="I85" s="31"/>
      <c r="J85" s="31"/>
      <c r="K85" s="31"/>
      <c r="L85" s="31"/>
      <c r="M85" s="31"/>
      <c r="N85" s="31"/>
      <c r="O85" s="31"/>
      <c r="P85" s="31"/>
      <c r="Q85" s="31"/>
      <c r="R85" s="31"/>
      <c r="S85" s="31"/>
      <c r="T85" s="31"/>
      <c r="U85" s="31"/>
      <c r="V85" s="31"/>
      <c r="W85" s="31"/>
      <c r="X85" s="31"/>
      <c r="Y85" s="31"/>
      <c r="Z85" s="31"/>
      <c r="AA85" s="31"/>
      <c r="AB85" s="31"/>
    </row>
    <row r="86" spans="1:28">
      <c r="A86" s="31"/>
      <c r="B86" s="31"/>
      <c r="C86" s="42"/>
      <c r="D86" s="31"/>
      <c r="E86" s="31"/>
      <c r="F86" s="31"/>
      <c r="G86" s="31"/>
      <c r="H86" s="31"/>
      <c r="I86" s="31"/>
      <c r="J86" s="31"/>
      <c r="K86" s="31"/>
      <c r="L86" s="31"/>
      <c r="M86" s="31"/>
      <c r="N86" s="31"/>
      <c r="O86" s="31"/>
      <c r="P86" s="31"/>
      <c r="Q86" s="31"/>
      <c r="R86" s="31"/>
      <c r="S86" s="31"/>
      <c r="T86" s="31"/>
      <c r="U86" s="31"/>
      <c r="V86" s="31"/>
      <c r="W86" s="31"/>
      <c r="X86" s="31"/>
      <c r="Y86" s="31"/>
      <c r="Z86" s="31"/>
      <c r="AA86" s="31"/>
      <c r="AB86" s="31"/>
    </row>
    <row r="87" spans="1:28">
      <c r="A87" s="31"/>
      <c r="B87" s="31"/>
      <c r="C87" s="42"/>
      <c r="D87" s="31"/>
      <c r="E87" s="31"/>
      <c r="F87" s="31"/>
      <c r="G87" s="31"/>
      <c r="H87" s="31"/>
      <c r="I87" s="31"/>
      <c r="J87" s="31"/>
      <c r="K87" s="31"/>
      <c r="L87" s="31"/>
      <c r="M87" s="31"/>
      <c r="N87" s="31"/>
      <c r="O87" s="31"/>
      <c r="P87" s="31"/>
      <c r="Q87" s="31"/>
      <c r="R87" s="31"/>
      <c r="S87" s="31"/>
      <c r="T87" s="31"/>
      <c r="U87" s="31"/>
      <c r="V87" s="31"/>
      <c r="W87" s="31"/>
      <c r="X87" s="31"/>
      <c r="Y87" s="31"/>
      <c r="Z87" s="31"/>
      <c r="AA87" s="31"/>
      <c r="AB87" s="31"/>
    </row>
    <row r="88" spans="1:28">
      <c r="A88" s="31"/>
      <c r="B88" s="31"/>
      <c r="C88" s="42"/>
      <c r="D88" s="31"/>
      <c r="E88" s="31"/>
      <c r="F88" s="31"/>
      <c r="G88" s="31"/>
      <c r="H88" s="31"/>
      <c r="I88" s="31"/>
      <c r="J88" s="31"/>
      <c r="K88" s="31"/>
      <c r="L88" s="31"/>
      <c r="M88" s="31"/>
      <c r="N88" s="31"/>
      <c r="O88" s="31"/>
      <c r="P88" s="31"/>
      <c r="Q88" s="31"/>
      <c r="R88" s="31"/>
      <c r="S88" s="31"/>
      <c r="T88" s="31"/>
      <c r="U88" s="31"/>
      <c r="V88" s="31"/>
      <c r="W88" s="31"/>
      <c r="X88" s="31"/>
      <c r="Y88" s="31"/>
      <c r="Z88" s="31"/>
      <c r="AA88" s="31"/>
      <c r="AB88" s="31"/>
    </row>
    <row r="89" spans="1:28">
      <c r="A89" s="31"/>
      <c r="B89" s="31"/>
      <c r="C89" s="42"/>
      <c r="D89" s="31"/>
      <c r="E89" s="31"/>
      <c r="F89" s="31"/>
      <c r="G89" s="31"/>
      <c r="H89" s="31"/>
      <c r="I89" s="31"/>
      <c r="J89" s="31"/>
      <c r="K89" s="31"/>
      <c r="L89" s="31"/>
      <c r="M89" s="31"/>
      <c r="N89" s="31"/>
      <c r="O89" s="31"/>
      <c r="P89" s="31"/>
      <c r="Q89" s="31"/>
      <c r="R89" s="31"/>
      <c r="S89" s="31"/>
      <c r="T89" s="31"/>
      <c r="U89" s="31"/>
      <c r="V89" s="31"/>
      <c r="W89" s="31"/>
      <c r="X89" s="31"/>
      <c r="Y89" s="31"/>
      <c r="Z89" s="31"/>
      <c r="AA89" s="31"/>
      <c r="AB89" s="31"/>
    </row>
    <row r="90" spans="1:28">
      <c r="A90" s="31"/>
      <c r="B90" s="31"/>
      <c r="C90" s="42"/>
      <c r="D90" s="31"/>
      <c r="E90" s="31"/>
      <c r="F90" s="31"/>
      <c r="G90" s="31"/>
      <c r="H90" s="31"/>
      <c r="I90" s="31"/>
      <c r="J90" s="31"/>
      <c r="K90" s="31"/>
      <c r="L90" s="31"/>
      <c r="M90" s="31"/>
      <c r="N90" s="31"/>
      <c r="O90" s="31"/>
      <c r="P90" s="31"/>
      <c r="Q90" s="31"/>
      <c r="R90" s="31"/>
      <c r="S90" s="31"/>
      <c r="T90" s="31"/>
      <c r="U90" s="31"/>
      <c r="V90" s="31"/>
      <c r="W90" s="31"/>
      <c r="X90" s="31"/>
      <c r="Y90" s="31"/>
      <c r="Z90" s="31"/>
      <c r="AA90" s="31"/>
      <c r="AB90" s="31"/>
    </row>
    <row r="91" spans="1:28">
      <c r="A91" s="31"/>
      <c r="B91" s="31"/>
      <c r="C91" s="42"/>
      <c r="D91" s="31"/>
      <c r="E91" s="31"/>
      <c r="F91" s="31"/>
      <c r="G91" s="31"/>
      <c r="H91" s="31"/>
      <c r="I91" s="31"/>
      <c r="J91" s="31"/>
      <c r="K91" s="31"/>
      <c r="L91" s="31"/>
      <c r="M91" s="31"/>
      <c r="N91" s="31"/>
      <c r="O91" s="31"/>
      <c r="P91" s="31"/>
      <c r="Q91" s="31"/>
      <c r="R91" s="31"/>
      <c r="S91" s="31"/>
      <c r="T91" s="31"/>
      <c r="U91" s="31"/>
      <c r="V91" s="31"/>
      <c r="W91" s="31"/>
      <c r="X91" s="31"/>
      <c r="Y91" s="31"/>
      <c r="Z91" s="31"/>
      <c r="AA91" s="31"/>
      <c r="AB91" s="31"/>
    </row>
    <row r="92" spans="1:28">
      <c r="A92" s="31"/>
      <c r="B92" s="31"/>
      <c r="C92" s="42"/>
      <c r="D92" s="31"/>
      <c r="E92" s="31"/>
      <c r="F92" s="31"/>
      <c r="G92" s="31"/>
      <c r="H92" s="31"/>
      <c r="I92" s="31"/>
      <c r="J92" s="31"/>
      <c r="K92" s="31"/>
      <c r="L92" s="31"/>
      <c r="M92" s="31"/>
      <c r="N92" s="31"/>
      <c r="O92" s="31"/>
      <c r="P92" s="31"/>
      <c r="Q92" s="31"/>
      <c r="R92" s="31"/>
      <c r="S92" s="31"/>
      <c r="T92" s="31"/>
      <c r="U92" s="31"/>
      <c r="V92" s="31"/>
      <c r="W92" s="31"/>
      <c r="X92" s="31"/>
      <c r="Y92" s="31"/>
      <c r="Z92" s="31"/>
      <c r="AA92" s="31"/>
      <c r="AB92" s="31"/>
    </row>
    <row r="93" spans="1:28">
      <c r="A93" s="31"/>
      <c r="B93" s="31"/>
      <c r="C93" s="42"/>
      <c r="D93" s="31"/>
      <c r="E93" s="31"/>
      <c r="F93" s="31"/>
      <c r="G93" s="31"/>
      <c r="H93" s="31"/>
      <c r="I93" s="31"/>
      <c r="J93" s="31"/>
      <c r="K93" s="31"/>
      <c r="L93" s="31"/>
      <c r="M93" s="31"/>
      <c r="N93" s="31"/>
      <c r="O93" s="31"/>
      <c r="P93" s="31"/>
      <c r="Q93" s="31"/>
      <c r="R93" s="31"/>
      <c r="S93" s="31"/>
      <c r="T93" s="31"/>
      <c r="U93" s="31"/>
      <c r="V93" s="31"/>
      <c r="W93" s="31"/>
      <c r="X93" s="31"/>
      <c r="Y93" s="31"/>
      <c r="Z93" s="31"/>
      <c r="AA93" s="31"/>
      <c r="AB93" s="31"/>
    </row>
    <row r="94" spans="1:28">
      <c r="A94" s="31"/>
      <c r="B94" s="31"/>
      <c r="C94" s="42"/>
      <c r="D94" s="31"/>
      <c r="E94" s="31"/>
      <c r="F94" s="31"/>
      <c r="G94" s="31"/>
      <c r="H94" s="31"/>
      <c r="I94" s="31"/>
      <c r="J94" s="31"/>
      <c r="K94" s="31"/>
      <c r="L94" s="31"/>
      <c r="M94" s="31"/>
      <c r="N94" s="31"/>
      <c r="O94" s="31"/>
      <c r="P94" s="31"/>
      <c r="Q94" s="31"/>
      <c r="R94" s="31"/>
      <c r="S94" s="31"/>
      <c r="T94" s="31"/>
      <c r="U94" s="31"/>
      <c r="V94" s="31"/>
      <c r="W94" s="31"/>
      <c r="X94" s="31"/>
      <c r="Y94" s="31"/>
      <c r="Z94" s="31"/>
      <c r="AA94" s="31"/>
      <c r="AB94" s="31"/>
    </row>
    <row r="95" spans="1:28">
      <c r="A95" s="31"/>
      <c r="B95" s="31"/>
      <c r="C95" s="42"/>
      <c r="D95" s="31"/>
      <c r="E95" s="31"/>
      <c r="F95" s="31"/>
      <c r="G95" s="31"/>
      <c r="H95" s="31"/>
      <c r="I95" s="31"/>
      <c r="J95" s="31"/>
      <c r="K95" s="31"/>
      <c r="L95" s="31"/>
      <c r="M95" s="31"/>
      <c r="N95" s="31"/>
      <c r="O95" s="31"/>
      <c r="P95" s="31"/>
      <c r="Q95" s="31"/>
      <c r="R95" s="31"/>
      <c r="S95" s="31"/>
      <c r="T95" s="31"/>
      <c r="U95" s="31"/>
      <c r="V95" s="31"/>
      <c r="W95" s="31"/>
      <c r="X95" s="31"/>
      <c r="Y95" s="31"/>
      <c r="Z95" s="31"/>
      <c r="AA95" s="31"/>
      <c r="AB95" s="31"/>
    </row>
    <row r="96" spans="1:28">
      <c r="A96" s="31"/>
      <c r="B96" s="31"/>
      <c r="C96" s="42"/>
      <c r="D96" s="31"/>
      <c r="E96" s="31"/>
      <c r="F96" s="31"/>
      <c r="G96" s="31"/>
      <c r="H96" s="31"/>
      <c r="I96" s="31"/>
      <c r="J96" s="31"/>
      <c r="K96" s="31"/>
      <c r="L96" s="31"/>
      <c r="M96" s="31"/>
      <c r="N96" s="31"/>
      <c r="O96" s="31"/>
      <c r="P96" s="31"/>
      <c r="Q96" s="31"/>
      <c r="R96" s="31"/>
      <c r="S96" s="31"/>
      <c r="T96" s="31"/>
      <c r="U96" s="31"/>
      <c r="V96" s="31"/>
      <c r="W96" s="31"/>
      <c r="X96" s="31"/>
      <c r="Y96" s="31"/>
      <c r="Z96" s="31"/>
      <c r="AA96" s="31"/>
      <c r="AB96" s="31"/>
    </row>
    <row r="97" spans="1:28">
      <c r="A97" s="31"/>
      <c r="B97" s="31"/>
      <c r="C97" s="42"/>
      <c r="D97" s="31"/>
      <c r="E97" s="31"/>
      <c r="F97" s="31"/>
      <c r="G97" s="31"/>
      <c r="H97" s="31"/>
      <c r="I97" s="31"/>
      <c r="J97" s="31"/>
      <c r="K97" s="31"/>
      <c r="L97" s="31"/>
      <c r="M97" s="31"/>
      <c r="N97" s="31"/>
      <c r="O97" s="31"/>
      <c r="P97" s="31"/>
      <c r="Q97" s="31"/>
      <c r="R97" s="31"/>
      <c r="S97" s="31"/>
      <c r="T97" s="31"/>
      <c r="U97" s="31"/>
      <c r="V97" s="31"/>
      <c r="W97" s="31"/>
      <c r="X97" s="31"/>
      <c r="Y97" s="31"/>
      <c r="Z97" s="31"/>
      <c r="AA97" s="31"/>
      <c r="AB97" s="31"/>
    </row>
    <row r="98" spans="1:28">
      <c r="A98" s="31"/>
      <c r="B98" s="31"/>
      <c r="C98" s="42"/>
      <c r="D98" s="31"/>
      <c r="E98" s="31"/>
      <c r="F98" s="31"/>
      <c r="G98" s="31"/>
      <c r="H98" s="31"/>
      <c r="I98" s="31"/>
      <c r="J98" s="31"/>
      <c r="K98" s="31"/>
      <c r="L98" s="31"/>
      <c r="M98" s="31"/>
      <c r="N98" s="31"/>
      <c r="O98" s="31"/>
      <c r="P98" s="31"/>
      <c r="Q98" s="31"/>
      <c r="R98" s="31"/>
      <c r="S98" s="31"/>
      <c r="T98" s="31"/>
      <c r="U98" s="31"/>
      <c r="V98" s="31"/>
      <c r="W98" s="31"/>
      <c r="X98" s="31"/>
      <c r="Y98" s="31"/>
      <c r="Z98" s="31"/>
      <c r="AA98" s="31"/>
      <c r="AB98" s="31"/>
    </row>
    <row r="99" spans="1:28">
      <c r="A99" s="31"/>
      <c r="B99" s="31"/>
      <c r="C99" s="42"/>
      <c r="D99" s="31"/>
      <c r="E99" s="31"/>
      <c r="F99" s="31"/>
      <c r="G99" s="31"/>
      <c r="H99" s="31"/>
      <c r="I99" s="31"/>
      <c r="J99" s="31"/>
      <c r="K99" s="31"/>
      <c r="L99" s="31"/>
      <c r="M99" s="31"/>
      <c r="N99" s="31"/>
      <c r="O99" s="31"/>
      <c r="P99" s="31"/>
      <c r="Q99" s="31"/>
      <c r="R99" s="31"/>
      <c r="S99" s="31"/>
      <c r="T99" s="31"/>
      <c r="U99" s="31"/>
      <c r="V99" s="31"/>
      <c r="W99" s="31"/>
      <c r="X99" s="31"/>
      <c r="Y99" s="31"/>
      <c r="Z99" s="31"/>
      <c r="AA99" s="31"/>
      <c r="AB99" s="31"/>
    </row>
    <row r="100" spans="1:28">
      <c r="A100" s="31"/>
      <c r="B100" s="31"/>
      <c r="C100" s="42"/>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row>
    <row r="101" spans="1:28">
      <c r="A101" s="31"/>
      <c r="B101" s="31"/>
      <c r="C101" s="42"/>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row>
    <row r="102" spans="1:28">
      <c r="A102" s="31"/>
      <c r="B102" s="31"/>
      <c r="C102" s="42"/>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row>
    <row r="103" spans="1:28">
      <c r="A103" s="31"/>
      <c r="B103" s="31"/>
      <c r="C103" s="42"/>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row>
    <row r="104" spans="1:28">
      <c r="A104" s="31"/>
      <c r="B104" s="31"/>
      <c r="C104" s="42"/>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row>
    <row r="105" spans="1:28">
      <c r="A105" s="31"/>
      <c r="B105" s="31"/>
      <c r="C105" s="42"/>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row>
    <row r="106" spans="1:28">
      <c r="A106" s="31"/>
      <c r="B106" s="31"/>
      <c r="C106" s="42"/>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row>
    <row r="107" spans="1:28">
      <c r="A107" s="31"/>
      <c r="B107" s="31"/>
      <c r="C107" s="42"/>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row>
    <row r="108" spans="1:28">
      <c r="A108" s="31"/>
      <c r="B108" s="31"/>
      <c r="C108" s="42"/>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row>
    <row r="109" spans="1:28">
      <c r="A109" s="31"/>
      <c r="B109" s="31"/>
      <c r="C109" s="42"/>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row>
    <row r="110" spans="1:28">
      <c r="A110" s="31"/>
      <c r="B110" s="31"/>
      <c r="C110" s="42"/>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row>
    <row r="111" spans="1:28">
      <c r="A111" s="31"/>
      <c r="B111" s="31"/>
      <c r="C111" s="42"/>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row>
    <row r="112" spans="1:28">
      <c r="A112" s="31"/>
      <c r="B112" s="31"/>
      <c r="C112" s="42"/>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row>
    <row r="113" spans="1:28">
      <c r="A113" s="31"/>
      <c r="B113" s="31"/>
      <c r="C113" s="42"/>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row>
    <row r="114" spans="1:28">
      <c r="A114" s="31"/>
      <c r="B114" s="31"/>
      <c r="C114" s="42"/>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row>
    <row r="115" spans="1:28">
      <c r="A115" s="31"/>
      <c r="B115" s="31"/>
      <c r="C115" s="42"/>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row>
    <row r="116" spans="1:28">
      <c r="A116" s="31"/>
      <c r="B116" s="31"/>
      <c r="C116" s="42"/>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row>
    <row r="117" spans="1:28">
      <c r="A117" s="31"/>
      <c r="B117" s="31"/>
      <c r="C117" s="42"/>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row>
    <row r="118" spans="1:28">
      <c r="A118" s="31"/>
      <c r="B118" s="31"/>
      <c r="C118" s="42"/>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row>
    <row r="119" spans="1:28">
      <c r="A119" s="31"/>
      <c r="B119" s="31"/>
      <c r="C119" s="42"/>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row>
    <row r="120" spans="1:28">
      <c r="A120" s="31"/>
      <c r="B120" s="31"/>
      <c r="C120" s="42"/>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row>
    <row r="121" spans="1:28">
      <c r="A121" s="31"/>
      <c r="B121" s="31"/>
      <c r="C121" s="42"/>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row>
    <row r="122" spans="1:28">
      <c r="A122" s="31"/>
      <c r="B122" s="31"/>
      <c r="C122" s="42"/>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row>
    <row r="123" spans="1:28">
      <c r="A123" s="31"/>
      <c r="B123" s="31"/>
      <c r="C123" s="42"/>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row>
    <row r="124" spans="1:28">
      <c r="A124" s="31"/>
      <c r="B124" s="31"/>
      <c r="C124" s="42"/>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row>
    <row r="125" spans="1:28">
      <c r="A125" s="31"/>
      <c r="B125" s="31"/>
      <c r="C125" s="42"/>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row>
    <row r="126" spans="1:28">
      <c r="A126" s="31"/>
      <c r="B126" s="31"/>
      <c r="C126" s="42"/>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row>
    <row r="127" spans="1:28">
      <c r="A127" s="31"/>
      <c r="B127" s="31"/>
      <c r="C127" s="42"/>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row>
    <row r="128" spans="1:28">
      <c r="A128" s="31"/>
      <c r="B128" s="31"/>
      <c r="C128" s="42"/>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row>
    <row r="129" spans="1:28">
      <c r="A129" s="31"/>
      <c r="B129" s="31"/>
      <c r="C129" s="42"/>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row>
    <row r="130" spans="1:28">
      <c r="A130" s="31"/>
      <c r="B130" s="31"/>
      <c r="C130" s="42"/>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row>
    <row r="131" spans="1:28">
      <c r="A131" s="31"/>
      <c r="B131" s="31"/>
      <c r="C131" s="42"/>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row>
    <row r="132" spans="1:28">
      <c r="A132" s="31"/>
      <c r="B132" s="31"/>
      <c r="C132" s="42"/>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row>
    <row r="133" spans="1:28">
      <c r="A133" s="31"/>
      <c r="B133" s="31"/>
      <c r="C133" s="42"/>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row>
    <row r="134" spans="1:28">
      <c r="A134" s="31"/>
      <c r="B134" s="31"/>
      <c r="C134" s="42"/>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row>
    <row r="135" spans="1:28">
      <c r="A135" s="31"/>
      <c r="B135" s="31"/>
      <c r="C135" s="42"/>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row>
    <row r="136" spans="1:28">
      <c r="A136" s="31"/>
      <c r="B136" s="31"/>
      <c r="C136" s="42"/>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row>
    <row r="137" spans="1:28">
      <c r="A137" s="31"/>
      <c r="B137" s="31"/>
      <c r="C137" s="42"/>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row>
    <row r="138" spans="1:28">
      <c r="A138" s="31"/>
      <c r="B138" s="31"/>
      <c r="C138" s="42"/>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row>
    <row r="139" spans="1:28">
      <c r="A139" s="31"/>
      <c r="B139" s="31"/>
      <c r="C139" s="42"/>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row>
    <row r="140" spans="1:28">
      <c r="A140" s="31"/>
      <c r="B140" s="31"/>
      <c r="C140" s="42"/>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row>
    <row r="141" spans="1:28">
      <c r="A141" s="31"/>
      <c r="B141" s="31"/>
      <c r="C141" s="42"/>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row>
    <row r="142" spans="1:28">
      <c r="A142" s="31"/>
      <c r="B142" s="31"/>
      <c r="C142" s="42"/>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row>
    <row r="143" spans="1:28">
      <c r="A143" s="31"/>
      <c r="B143" s="31"/>
      <c r="C143" s="42"/>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row>
    <row r="144" spans="1:28">
      <c r="A144" s="31"/>
      <c r="B144" s="31"/>
      <c r="C144" s="42"/>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row>
    <row r="145" spans="1:28">
      <c r="A145" s="31"/>
      <c r="B145" s="31"/>
      <c r="C145" s="42"/>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row>
    <row r="146" spans="1:28">
      <c r="A146" s="31"/>
      <c r="B146" s="31"/>
      <c r="C146" s="42"/>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row>
    <row r="147" spans="1:28">
      <c r="A147" s="31"/>
      <c r="B147" s="31"/>
      <c r="C147" s="42"/>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row>
    <row r="148" spans="1:28">
      <c r="A148" s="31"/>
      <c r="B148" s="31"/>
      <c r="C148" s="42"/>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row>
    <row r="149" spans="1:28">
      <c r="A149" s="31"/>
      <c r="B149" s="31"/>
      <c r="C149" s="42"/>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row>
    <row r="150" spans="1:28">
      <c r="A150" s="31"/>
      <c r="B150" s="31"/>
      <c r="C150" s="42"/>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row>
    <row r="151" spans="1:28">
      <c r="A151" s="31"/>
      <c r="B151" s="31"/>
      <c r="C151" s="42"/>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row>
    <row r="152" spans="1:28">
      <c r="A152" s="31"/>
      <c r="B152" s="31"/>
      <c r="C152" s="42"/>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row>
    <row r="153" spans="1:28">
      <c r="A153" s="31"/>
      <c r="B153" s="31"/>
      <c r="C153" s="42"/>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row>
    <row r="154" spans="1:28">
      <c r="A154" s="31"/>
      <c r="B154" s="31"/>
      <c r="C154" s="42"/>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row>
    <row r="155" spans="1:28">
      <c r="A155" s="31"/>
      <c r="B155" s="31"/>
      <c r="C155" s="42"/>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row>
    <row r="156" spans="1:28">
      <c r="A156" s="31"/>
      <c r="B156" s="31"/>
      <c r="C156" s="42"/>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row>
    <row r="157" spans="1:28">
      <c r="A157" s="31"/>
      <c r="B157" s="31"/>
      <c r="C157" s="42"/>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row>
    <row r="158" spans="1:28">
      <c r="A158" s="31"/>
      <c r="B158" s="31"/>
      <c r="C158" s="42"/>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row>
    <row r="159" spans="1:28">
      <c r="A159" s="31"/>
      <c r="B159" s="31"/>
      <c r="C159" s="42"/>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row>
    <row r="160" spans="1:28">
      <c r="A160" s="31"/>
      <c r="B160" s="31"/>
      <c r="C160" s="42"/>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row>
    <row r="161" spans="1:28">
      <c r="A161" s="31"/>
      <c r="B161" s="31"/>
      <c r="C161" s="42"/>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row>
    <row r="162" spans="1:28">
      <c r="A162" s="31"/>
      <c r="B162" s="31"/>
      <c r="C162" s="42"/>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row>
    <row r="163" spans="1:28">
      <c r="A163" s="31"/>
      <c r="B163" s="31"/>
      <c r="C163" s="42"/>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row>
    <row r="164" spans="1:28">
      <c r="A164" s="31"/>
      <c r="B164" s="31"/>
      <c r="C164" s="42"/>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row>
    <row r="165" spans="1:28">
      <c r="A165" s="31"/>
      <c r="B165" s="31"/>
      <c r="C165" s="42"/>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row>
    <row r="166" spans="1:28">
      <c r="A166" s="31"/>
      <c r="B166" s="31"/>
      <c r="C166" s="42"/>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row>
    <row r="167" spans="1:28">
      <c r="A167" s="31"/>
      <c r="B167" s="31"/>
      <c r="C167" s="42"/>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row>
    <row r="168" spans="1:28">
      <c r="A168" s="31"/>
      <c r="B168" s="31"/>
      <c r="C168" s="42"/>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row>
    <row r="169" spans="1:28">
      <c r="A169" s="31"/>
      <c r="B169" s="31"/>
      <c r="C169" s="42"/>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row>
    <row r="170" spans="1:28">
      <c r="A170" s="31"/>
      <c r="B170" s="31"/>
      <c r="C170" s="42"/>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row>
    <row r="171" spans="1:28">
      <c r="A171" s="31"/>
      <c r="B171" s="31"/>
      <c r="C171" s="42"/>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row>
    <row r="172" spans="1:28">
      <c r="A172" s="31"/>
      <c r="B172" s="31"/>
      <c r="C172" s="42"/>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row>
    <row r="173" spans="1:28">
      <c r="A173" s="31"/>
      <c r="B173" s="31"/>
      <c r="C173" s="42"/>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row>
    <row r="174" spans="1:28">
      <c r="A174" s="31"/>
      <c r="B174" s="31"/>
      <c r="C174" s="42"/>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row>
    <row r="175" spans="1:28">
      <c r="A175" s="31"/>
      <c r="B175" s="31"/>
      <c r="C175" s="42"/>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row>
    <row r="176" spans="1:28">
      <c r="A176" s="31"/>
      <c r="B176" s="31"/>
      <c r="C176" s="42"/>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row>
    <row r="177" spans="1:28">
      <c r="A177" s="31"/>
      <c r="B177" s="31"/>
      <c r="C177" s="42"/>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row>
    <row r="178" spans="1:28">
      <c r="A178" s="31"/>
      <c r="B178" s="31"/>
      <c r="C178" s="42"/>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row>
    <row r="179" spans="1:28">
      <c r="A179" s="31"/>
      <c r="B179" s="31"/>
      <c r="C179" s="42"/>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row>
    <row r="180" spans="1:28">
      <c r="A180" s="31"/>
      <c r="B180" s="31"/>
      <c r="C180" s="42"/>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row>
    <row r="181" spans="1:28">
      <c r="A181" s="31"/>
      <c r="B181" s="31"/>
      <c r="C181" s="42"/>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row>
    <row r="182" spans="1:28">
      <c r="A182" s="31"/>
      <c r="B182" s="31"/>
      <c r="C182" s="42"/>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row>
    <row r="183" spans="1:28">
      <c r="A183" s="31"/>
      <c r="B183" s="31"/>
      <c r="C183" s="42"/>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row>
    <row r="184" spans="1:28">
      <c r="A184" s="31"/>
      <c r="B184" s="31"/>
      <c r="C184" s="42"/>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row>
    <row r="185" spans="1:28">
      <c r="A185" s="31"/>
      <c r="B185" s="31"/>
      <c r="C185" s="42"/>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row>
    <row r="186" spans="1:28">
      <c r="A186" s="31"/>
      <c r="B186" s="31"/>
      <c r="C186" s="42"/>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row>
    <row r="187" spans="1:28">
      <c r="A187" s="31"/>
      <c r="B187" s="31"/>
      <c r="C187" s="42"/>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row>
    <row r="188" spans="1:28">
      <c r="A188" s="31"/>
      <c r="B188" s="31"/>
      <c r="C188" s="42"/>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row>
    <row r="189" spans="1:28">
      <c r="A189" s="31"/>
      <c r="B189" s="31"/>
      <c r="C189" s="42"/>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row>
    <row r="190" spans="1:28">
      <c r="A190" s="31"/>
      <c r="B190" s="31"/>
      <c r="C190" s="42"/>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row>
    <row r="191" spans="1:28">
      <c r="A191" s="31"/>
      <c r="B191" s="31"/>
      <c r="C191" s="42"/>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row>
    <row r="192" spans="1:28">
      <c r="A192" s="31"/>
      <c r="B192" s="31"/>
      <c r="C192" s="42"/>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row>
    <row r="193" spans="1:28">
      <c r="A193" s="31"/>
      <c r="B193" s="31"/>
      <c r="C193" s="42"/>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row>
    <row r="194" spans="1:28">
      <c r="A194" s="31"/>
      <c r="B194" s="31"/>
      <c r="C194" s="42"/>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row>
    <row r="195" spans="1:28">
      <c r="A195" s="31"/>
      <c r="B195" s="31"/>
      <c r="C195" s="42"/>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row>
    <row r="196" spans="1:28">
      <c r="A196" s="31"/>
      <c r="B196" s="31"/>
      <c r="C196" s="42"/>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row>
    <row r="197" spans="1:28">
      <c r="A197" s="31"/>
      <c r="B197" s="31"/>
      <c r="C197" s="42"/>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row>
    <row r="198" spans="1:28">
      <c r="A198" s="31"/>
      <c r="B198" s="31"/>
      <c r="C198" s="42"/>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row>
    <row r="199" spans="1:28">
      <c r="A199" s="31"/>
      <c r="B199" s="31"/>
      <c r="C199" s="42"/>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row>
    <row r="200" spans="1:28">
      <c r="A200" s="31"/>
      <c r="B200" s="31"/>
      <c r="C200" s="42"/>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row>
    <row r="201" spans="1:28">
      <c r="A201" s="31"/>
      <c r="B201" s="31"/>
      <c r="C201" s="42"/>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row>
    <row r="202" spans="1:28">
      <c r="A202" s="31"/>
      <c r="B202" s="31"/>
      <c r="C202" s="42"/>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row>
    <row r="203" spans="1:28">
      <c r="A203" s="31"/>
      <c r="B203" s="31"/>
      <c r="C203" s="42"/>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row>
    <row r="204" spans="1:28">
      <c r="A204" s="31"/>
      <c r="B204" s="31"/>
      <c r="C204" s="42"/>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row>
    <row r="205" spans="1:28">
      <c r="A205" s="31"/>
      <c r="B205" s="31"/>
      <c r="C205" s="42"/>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row>
    <row r="206" spans="1:28">
      <c r="A206" s="31"/>
      <c r="B206" s="31"/>
      <c r="C206" s="42"/>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row>
    <row r="207" spans="1:28">
      <c r="A207" s="31"/>
      <c r="B207" s="31"/>
      <c r="C207" s="42"/>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row>
    <row r="208" spans="1:28">
      <c r="A208" s="31"/>
      <c r="B208" s="31"/>
      <c r="C208" s="42"/>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row>
    <row r="209" spans="1:28">
      <c r="A209" s="31"/>
      <c r="B209" s="31"/>
      <c r="C209" s="42"/>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row>
    <row r="210" spans="1:28">
      <c r="A210" s="31"/>
      <c r="B210" s="31"/>
      <c r="C210" s="42"/>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row>
    <row r="211" spans="1:28">
      <c r="A211" s="31"/>
      <c r="B211" s="31"/>
      <c r="C211" s="42"/>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row>
    <row r="212" spans="1:28">
      <c r="A212" s="31"/>
      <c r="B212" s="31"/>
      <c r="C212" s="42"/>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row>
    <row r="213" spans="1:28">
      <c r="A213" s="31"/>
      <c r="B213" s="31"/>
      <c r="C213" s="42"/>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row>
    <row r="214" spans="1:28">
      <c r="A214" s="31"/>
      <c r="B214" s="31"/>
      <c r="C214" s="42"/>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row>
    <row r="215" spans="1:28">
      <c r="A215" s="31"/>
      <c r="B215" s="31"/>
      <c r="C215" s="42"/>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row>
    <row r="216" spans="1:28">
      <c r="A216" s="31"/>
      <c r="B216" s="31"/>
      <c r="C216" s="42"/>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row>
    <row r="217" spans="1:28">
      <c r="A217" s="31"/>
      <c r="B217" s="31"/>
      <c r="C217" s="42"/>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row>
    <row r="218" spans="1:28">
      <c r="A218" s="31"/>
      <c r="B218" s="31"/>
      <c r="C218" s="42"/>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row>
    <row r="219" spans="1:28">
      <c r="A219" s="31"/>
      <c r="B219" s="31"/>
      <c r="C219" s="42"/>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row>
    <row r="220" spans="1:28">
      <c r="A220" s="31"/>
      <c r="B220" s="31"/>
      <c r="C220" s="42"/>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row>
    <row r="221" spans="1:28">
      <c r="A221" s="31"/>
      <c r="B221" s="31"/>
      <c r="C221" s="42"/>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row>
    <row r="222" spans="1:28">
      <c r="A222" s="31"/>
      <c r="B222" s="31"/>
      <c r="C222" s="42"/>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row>
    <row r="223" spans="1:28">
      <c r="A223" s="31"/>
      <c r="B223" s="31"/>
      <c r="C223" s="42"/>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row>
    <row r="224" spans="1:28">
      <c r="A224" s="31"/>
      <c r="B224" s="31"/>
      <c r="C224" s="42"/>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row>
    <row r="225" spans="1:28">
      <c r="A225" s="31"/>
      <c r="B225" s="31"/>
      <c r="C225" s="42"/>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row>
    <row r="226" spans="1:28">
      <c r="A226" s="31"/>
      <c r="B226" s="31"/>
      <c r="C226" s="42"/>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row>
    <row r="227" spans="1:28">
      <c r="A227" s="31"/>
      <c r="B227" s="31"/>
      <c r="C227" s="42"/>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row>
    <row r="228" spans="1:28">
      <c r="A228" s="31"/>
      <c r="B228" s="31"/>
      <c r="C228" s="42"/>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row>
    <row r="229" spans="1:28">
      <c r="A229" s="31"/>
      <c r="B229" s="31"/>
      <c r="C229" s="42"/>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row>
    <row r="230" spans="1:28">
      <c r="A230" s="31"/>
      <c r="B230" s="31"/>
      <c r="C230" s="42"/>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row>
    <row r="231" spans="1:28">
      <c r="A231" s="31"/>
      <c r="B231" s="31"/>
      <c r="C231" s="42"/>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row>
    <row r="232" spans="1:28">
      <c r="A232" s="31"/>
      <c r="B232" s="31"/>
      <c r="C232" s="42"/>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row>
    <row r="233" spans="1:28">
      <c r="A233" s="31"/>
      <c r="B233" s="31"/>
      <c r="C233" s="42"/>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row>
    <row r="234" spans="1:28">
      <c r="A234" s="31"/>
      <c r="B234" s="31"/>
      <c r="C234" s="42"/>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row>
    <row r="235" spans="1:28">
      <c r="A235" s="31"/>
      <c r="B235" s="31"/>
      <c r="C235" s="42"/>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row>
    <row r="236" spans="1:28">
      <c r="A236" s="31"/>
      <c r="B236" s="31"/>
      <c r="C236" s="42"/>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row>
    <row r="237" spans="1:28">
      <c r="A237" s="31"/>
      <c r="B237" s="31"/>
      <c r="C237" s="42"/>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row>
    <row r="238" spans="1:28">
      <c r="A238" s="31"/>
      <c r="B238" s="31"/>
      <c r="C238" s="42"/>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row>
    <row r="239" spans="1:28">
      <c r="A239" s="31"/>
      <c r="B239" s="31"/>
      <c r="C239" s="42"/>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row>
    <row r="240" spans="1:28">
      <c r="A240" s="31"/>
      <c r="B240" s="31"/>
      <c r="C240" s="42"/>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row>
    <row r="241" spans="1:28">
      <c r="A241" s="31"/>
      <c r="B241" s="31"/>
      <c r="C241" s="42"/>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row>
    <row r="242" spans="1:28">
      <c r="A242" s="31"/>
      <c r="B242" s="31"/>
      <c r="C242" s="42"/>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row>
    <row r="243" spans="1:28">
      <c r="A243" s="31"/>
      <c r="B243" s="31"/>
      <c r="C243" s="42"/>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row>
    <row r="244" spans="1:28">
      <c r="A244" s="31"/>
      <c r="B244" s="31"/>
      <c r="C244" s="42"/>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row>
    <row r="245" spans="1:28">
      <c r="A245" s="31"/>
      <c r="B245" s="31"/>
      <c r="C245" s="42"/>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row>
    <row r="246" spans="1:28">
      <c r="A246" s="31"/>
      <c r="B246" s="31"/>
      <c r="C246" s="42"/>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row>
    <row r="247" spans="1:28">
      <c r="A247" s="31"/>
      <c r="B247" s="31"/>
      <c r="C247" s="42"/>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row>
    <row r="248" spans="1:28">
      <c r="A248" s="31"/>
      <c r="B248" s="31"/>
      <c r="C248" s="42"/>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row>
    <row r="249" spans="1:28">
      <c r="A249" s="31"/>
      <c r="B249" s="31"/>
      <c r="C249" s="42"/>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row>
    <row r="250" spans="1:28">
      <c r="A250" s="31"/>
      <c r="B250" s="31"/>
      <c r="C250" s="42"/>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row>
    <row r="251" spans="1:28">
      <c r="A251" s="31"/>
      <c r="B251" s="31"/>
      <c r="C251" s="42"/>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row>
    <row r="252" spans="1:28">
      <c r="A252" s="31"/>
      <c r="B252" s="31"/>
      <c r="C252" s="42"/>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row>
    <row r="253" spans="1:28">
      <c r="A253" s="31"/>
      <c r="B253" s="31"/>
      <c r="C253" s="42"/>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row>
    <row r="254" spans="1:28">
      <c r="A254" s="31"/>
      <c r="B254" s="31"/>
      <c r="C254" s="42"/>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row>
    <row r="255" spans="1:28">
      <c r="A255" s="31"/>
      <c r="B255" s="31"/>
      <c r="C255" s="42"/>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row>
    <row r="256" spans="1:28">
      <c r="A256" s="31"/>
      <c r="B256" s="31"/>
      <c r="C256" s="42"/>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row>
    <row r="257" spans="1:28">
      <c r="A257" s="31"/>
      <c r="B257" s="31"/>
      <c r="C257" s="42"/>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row>
    <row r="258" spans="1:28">
      <c r="A258" s="31"/>
      <c r="B258" s="31"/>
      <c r="C258" s="42"/>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row>
    <row r="259" spans="1:28">
      <c r="A259" s="31"/>
      <c r="B259" s="31"/>
      <c r="C259" s="42"/>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row>
    <row r="260" spans="1:28">
      <c r="A260" s="31"/>
      <c r="B260" s="31"/>
      <c r="C260" s="42"/>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row>
    <row r="261" spans="1:28">
      <c r="A261" s="31"/>
      <c r="B261" s="31"/>
      <c r="C261" s="42"/>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row>
    <row r="262" spans="1:28">
      <c r="A262" s="31"/>
      <c r="B262" s="31"/>
      <c r="C262" s="42"/>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row>
    <row r="263" spans="1:28">
      <c r="A263" s="31"/>
      <c r="B263" s="31"/>
      <c r="C263" s="42"/>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row>
    <row r="264" spans="1:28">
      <c r="A264" s="31"/>
      <c r="B264" s="31"/>
      <c r="C264" s="42"/>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row>
    <row r="265" spans="1:28">
      <c r="A265" s="31"/>
      <c r="B265" s="31"/>
      <c r="C265" s="42"/>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row>
    <row r="266" spans="1:28">
      <c r="A266" s="31"/>
      <c r="B266" s="31"/>
      <c r="C266" s="42"/>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row>
    <row r="267" spans="1:28">
      <c r="A267" s="31"/>
      <c r="B267" s="31"/>
      <c r="C267" s="42"/>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row>
    <row r="268" spans="1:28">
      <c r="A268" s="31"/>
      <c r="B268" s="31"/>
      <c r="C268" s="42"/>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row>
    <row r="269" spans="1:28">
      <c r="A269" s="31"/>
      <c r="B269" s="31"/>
      <c r="C269" s="42"/>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row>
    <row r="270" spans="1:28">
      <c r="A270" s="31"/>
      <c r="B270" s="31"/>
      <c r="C270" s="42"/>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row>
    <row r="271" spans="1:28">
      <c r="A271" s="31"/>
      <c r="B271" s="31"/>
      <c r="C271" s="42"/>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row>
    <row r="272" spans="1:28">
      <c r="A272" s="31"/>
      <c r="B272" s="31"/>
      <c r="C272" s="42"/>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row>
    <row r="273" spans="1:28">
      <c r="A273" s="31"/>
      <c r="B273" s="31"/>
      <c r="C273" s="42"/>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row>
    <row r="274" spans="1:28">
      <c r="A274" s="31"/>
      <c r="B274" s="31"/>
      <c r="C274" s="42"/>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row>
    <row r="275" spans="1:28">
      <c r="A275" s="31"/>
      <c r="B275" s="31"/>
      <c r="C275" s="42"/>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row>
    <row r="276" spans="1:28">
      <c r="A276" s="31"/>
      <c r="B276" s="31"/>
      <c r="C276" s="42"/>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row>
    <row r="277" spans="1:28">
      <c r="A277" s="31"/>
      <c r="B277" s="31"/>
      <c r="C277" s="42"/>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row>
    <row r="278" spans="1:28">
      <c r="A278" s="31"/>
      <c r="B278" s="31"/>
      <c r="C278" s="42"/>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row>
    <row r="279" spans="1:28">
      <c r="A279" s="31"/>
      <c r="B279" s="31"/>
      <c r="C279" s="42"/>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row>
    <row r="280" spans="1:28">
      <c r="A280" s="31"/>
      <c r="B280" s="31"/>
      <c r="C280" s="42"/>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row>
    <row r="281" spans="1:28">
      <c r="A281" s="31"/>
      <c r="B281" s="31"/>
      <c r="C281" s="42"/>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row>
    <row r="282" spans="1:28">
      <c r="A282" s="31"/>
      <c r="B282" s="31"/>
      <c r="C282" s="42"/>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row>
    <row r="283" spans="1:28">
      <c r="A283" s="31"/>
      <c r="B283" s="31"/>
      <c r="C283" s="42"/>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row>
    <row r="284" spans="1:28">
      <c r="A284" s="31"/>
      <c r="B284" s="31"/>
      <c r="C284" s="42"/>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row>
    <row r="285" spans="1:28">
      <c r="A285" s="31"/>
      <c r="B285" s="31"/>
      <c r="C285" s="42"/>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row>
    <row r="286" spans="1:28">
      <c r="A286" s="31"/>
      <c r="B286" s="31"/>
      <c r="C286" s="42"/>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row>
    <row r="287" spans="1:28">
      <c r="A287" s="31"/>
      <c r="B287" s="31"/>
      <c r="C287" s="42"/>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row>
    <row r="288" spans="1:28">
      <c r="A288" s="31"/>
      <c r="B288" s="31"/>
      <c r="C288" s="42"/>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row>
    <row r="289" spans="1:28">
      <c r="A289" s="31"/>
      <c r="B289" s="31"/>
      <c r="C289" s="42"/>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row>
    <row r="290" spans="1:28">
      <c r="A290" s="31"/>
      <c r="B290" s="31"/>
      <c r="C290" s="42"/>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row>
    <row r="291" spans="1:28">
      <c r="A291" s="31"/>
      <c r="B291" s="31"/>
      <c r="C291" s="42"/>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row>
    <row r="292" spans="1:28">
      <c r="A292" s="31"/>
      <c r="B292" s="31"/>
      <c r="C292" s="42"/>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row>
    <row r="293" spans="1:28">
      <c r="A293" s="31"/>
      <c r="B293" s="31"/>
      <c r="C293" s="42"/>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row>
    <row r="294" spans="1:28">
      <c r="A294" s="31"/>
      <c r="B294" s="31"/>
      <c r="C294" s="42"/>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row>
    <row r="295" spans="1:28">
      <c r="A295" s="31"/>
      <c r="B295" s="31"/>
      <c r="C295" s="42"/>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row>
    <row r="296" spans="1:28">
      <c r="A296" s="31"/>
      <c r="B296" s="31"/>
      <c r="C296" s="42"/>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row>
    <row r="297" spans="1:28">
      <c r="A297" s="31"/>
      <c r="B297" s="31"/>
      <c r="C297" s="42"/>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row>
    <row r="298" spans="1:28">
      <c r="A298" s="31"/>
      <c r="B298" s="31"/>
      <c r="C298" s="42"/>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row>
    <row r="299" spans="1:28">
      <c r="A299" s="31"/>
      <c r="B299" s="31"/>
      <c r="C299" s="42"/>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row>
    <row r="300" spans="1:28">
      <c r="A300" s="31"/>
      <c r="B300" s="31"/>
      <c r="C300" s="42"/>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row>
    <row r="301" spans="1:28">
      <c r="A301" s="31"/>
      <c r="B301" s="31"/>
      <c r="C301" s="42"/>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row>
    <row r="302" spans="1:28">
      <c r="A302" s="31"/>
      <c r="B302" s="31"/>
      <c r="C302" s="42"/>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row>
    <row r="303" spans="1:28">
      <c r="A303" s="31"/>
      <c r="B303" s="31"/>
      <c r="C303" s="42"/>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row>
    <row r="304" spans="1:28">
      <c r="A304" s="31"/>
      <c r="B304" s="31"/>
      <c r="C304" s="42"/>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row>
    <row r="305" spans="1:28">
      <c r="A305" s="31"/>
      <c r="B305" s="31"/>
      <c r="C305" s="42"/>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row>
    <row r="306" spans="1:28">
      <c r="A306" s="31"/>
      <c r="B306" s="31"/>
      <c r="C306" s="42"/>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row>
    <row r="307" spans="1:28">
      <c r="A307" s="31"/>
      <c r="B307" s="31"/>
      <c r="C307" s="42"/>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row>
    <row r="308" spans="1:28">
      <c r="A308" s="31"/>
      <c r="B308" s="31"/>
      <c r="C308" s="42"/>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row>
    <row r="309" spans="1:28">
      <c r="A309" s="31"/>
      <c r="B309" s="31"/>
      <c r="C309" s="42"/>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row>
    <row r="310" spans="1:28">
      <c r="A310" s="31"/>
      <c r="B310" s="31"/>
      <c r="C310" s="42"/>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row>
    <row r="311" spans="1:28">
      <c r="A311" s="31"/>
      <c r="B311" s="31"/>
      <c r="C311" s="42"/>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row>
    <row r="312" spans="1:28">
      <c r="A312" s="31"/>
      <c r="B312" s="31"/>
      <c r="C312" s="42"/>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row>
    <row r="313" spans="1:28">
      <c r="A313" s="31"/>
      <c r="B313" s="31"/>
      <c r="C313" s="42"/>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row>
    <row r="314" spans="1:28">
      <c r="A314" s="31"/>
      <c r="B314" s="31"/>
      <c r="C314" s="42"/>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row>
    <row r="315" spans="1:28">
      <c r="A315" s="31"/>
      <c r="B315" s="31"/>
      <c r="C315" s="42"/>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row>
    <row r="316" spans="1:28">
      <c r="A316" s="31"/>
      <c r="B316" s="31"/>
      <c r="C316" s="42"/>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row>
    <row r="317" spans="1:28">
      <c r="A317" s="31"/>
      <c r="B317" s="31"/>
      <c r="C317" s="42"/>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row>
    <row r="318" spans="1:28">
      <c r="A318" s="31"/>
      <c r="B318" s="31"/>
      <c r="C318" s="42"/>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row>
    <row r="319" spans="1:28">
      <c r="A319" s="31"/>
      <c r="B319" s="31"/>
      <c r="C319" s="42"/>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row>
    <row r="320" spans="1:28">
      <c r="A320" s="31"/>
      <c r="B320" s="31"/>
      <c r="C320" s="42"/>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row>
    <row r="321" spans="1:28">
      <c r="A321" s="31"/>
      <c r="B321" s="31"/>
      <c r="C321" s="42"/>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row>
    <row r="322" spans="1:28">
      <c r="A322" s="31"/>
      <c r="B322" s="31"/>
      <c r="C322" s="42"/>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row>
    <row r="323" spans="1:28">
      <c r="A323" s="31"/>
      <c r="B323" s="31"/>
      <c r="C323" s="42"/>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row>
    <row r="324" spans="1:28">
      <c r="A324" s="31"/>
      <c r="B324" s="31"/>
      <c r="C324" s="42"/>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row>
    <row r="325" spans="1:28">
      <c r="A325" s="31"/>
      <c r="B325" s="31"/>
      <c r="C325" s="42"/>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row>
    <row r="326" spans="1:28">
      <c r="A326" s="31"/>
      <c r="B326" s="31"/>
      <c r="C326" s="42"/>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row>
    <row r="327" spans="1:28">
      <c r="A327" s="31"/>
      <c r="B327" s="31"/>
      <c r="C327" s="42"/>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row>
    <row r="328" spans="1:28">
      <c r="A328" s="31"/>
      <c r="B328" s="31"/>
      <c r="C328" s="42"/>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row>
    <row r="329" spans="1:28">
      <c r="A329" s="31"/>
      <c r="B329" s="31"/>
      <c r="C329" s="42"/>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row>
    <row r="330" spans="1:28">
      <c r="A330" s="31"/>
      <c r="B330" s="31"/>
      <c r="C330" s="42"/>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row>
    <row r="331" spans="1:28">
      <c r="A331" s="31"/>
      <c r="B331" s="31"/>
      <c r="C331" s="42"/>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row>
    <row r="332" spans="1:28">
      <c r="A332" s="31"/>
      <c r="B332" s="31"/>
      <c r="C332" s="42"/>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row>
    <row r="333" spans="1:28">
      <c r="A333" s="31"/>
      <c r="B333" s="31"/>
      <c r="C333" s="42"/>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row>
    <row r="334" spans="1:28">
      <c r="A334" s="31"/>
      <c r="B334" s="31"/>
      <c r="C334" s="42"/>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row>
    <row r="335" spans="1:28">
      <c r="A335" s="31"/>
      <c r="B335" s="31"/>
      <c r="C335" s="42"/>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row>
    <row r="336" spans="1:28">
      <c r="A336" s="31"/>
      <c r="B336" s="31"/>
      <c r="C336" s="42"/>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row>
    <row r="337" spans="1:28">
      <c r="A337" s="31"/>
      <c r="B337" s="31"/>
      <c r="C337" s="42"/>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row>
    <row r="338" spans="1:28">
      <c r="A338" s="31"/>
      <c r="B338" s="31"/>
      <c r="C338" s="42"/>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row>
    <row r="339" spans="1:28">
      <c r="A339" s="31"/>
      <c r="B339" s="31"/>
      <c r="C339" s="42"/>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row>
    <row r="340" spans="1:28">
      <c r="A340" s="31"/>
      <c r="B340" s="31"/>
      <c r="C340" s="42"/>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row>
    <row r="341" spans="1:28">
      <c r="A341" s="31"/>
      <c r="B341" s="31"/>
      <c r="C341" s="42"/>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row>
    <row r="342" spans="1:28">
      <c r="A342" s="31"/>
      <c r="B342" s="31"/>
      <c r="C342" s="42"/>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row>
    <row r="343" spans="1:28">
      <c r="A343" s="31"/>
      <c r="B343" s="31"/>
      <c r="C343" s="42"/>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row>
    <row r="344" spans="1:28">
      <c r="A344" s="31"/>
      <c r="B344" s="31"/>
      <c r="C344" s="42"/>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row>
    <row r="345" spans="1:28">
      <c r="A345" s="31"/>
      <c r="B345" s="31"/>
      <c r="C345" s="42"/>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row>
    <row r="346" spans="1:28">
      <c r="A346" s="31"/>
      <c r="B346" s="31"/>
      <c r="C346" s="42"/>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row>
    <row r="347" spans="1:28">
      <c r="A347" s="31"/>
      <c r="B347" s="31"/>
      <c r="C347" s="42"/>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row>
    <row r="348" spans="1:28">
      <c r="A348" s="31"/>
      <c r="B348" s="31"/>
      <c r="C348" s="42"/>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row>
    <row r="349" spans="1:28">
      <c r="A349" s="31"/>
      <c r="B349" s="31"/>
      <c r="C349" s="42"/>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row>
    <row r="350" spans="1:28">
      <c r="A350" s="31"/>
      <c r="B350" s="31"/>
      <c r="C350" s="42"/>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row>
    <row r="351" spans="1:28">
      <c r="A351" s="31"/>
      <c r="B351" s="31"/>
      <c r="C351" s="42"/>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row>
    <row r="352" spans="1:28">
      <c r="A352" s="31"/>
      <c r="B352" s="31"/>
      <c r="C352" s="42"/>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row>
    <row r="353" spans="1:28">
      <c r="A353" s="31"/>
      <c r="B353" s="31"/>
      <c r="C353" s="42"/>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row>
    <row r="354" spans="1:28">
      <c r="A354" s="31"/>
      <c r="B354" s="31"/>
      <c r="C354" s="42"/>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row>
    <row r="355" spans="1:28">
      <c r="A355" s="31"/>
      <c r="B355" s="31"/>
      <c r="C355" s="42"/>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row>
    <row r="356" spans="1:28">
      <c r="A356" s="31"/>
      <c r="B356" s="31"/>
      <c r="C356" s="42"/>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row>
    <row r="357" spans="1:28">
      <c r="A357" s="31"/>
      <c r="B357" s="31"/>
      <c r="C357" s="42"/>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row>
    <row r="358" spans="1:28">
      <c r="A358" s="31"/>
      <c r="B358" s="31"/>
      <c r="C358" s="42"/>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row>
    <row r="359" spans="1:28">
      <c r="A359" s="31"/>
      <c r="B359" s="31"/>
      <c r="C359" s="42"/>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row>
    <row r="360" spans="1:28">
      <c r="A360" s="31"/>
      <c r="B360" s="31"/>
      <c r="C360" s="42"/>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row>
    <row r="361" spans="1:28">
      <c r="A361" s="31"/>
      <c r="B361" s="31"/>
      <c r="C361" s="42"/>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row>
    <row r="362" spans="1:28">
      <c r="A362" s="31"/>
      <c r="B362" s="31"/>
      <c r="C362" s="42"/>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row>
    <row r="363" spans="1:28">
      <c r="A363" s="31"/>
      <c r="B363" s="31"/>
      <c r="C363" s="42"/>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row>
    <row r="364" spans="1:28">
      <c r="A364" s="31"/>
      <c r="B364" s="31"/>
      <c r="C364" s="42"/>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row>
    <row r="365" spans="1:28">
      <c r="A365" s="31"/>
      <c r="B365" s="31"/>
      <c r="C365" s="42"/>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row>
    <row r="366" spans="1:28">
      <c r="A366" s="31"/>
      <c r="B366" s="31"/>
      <c r="C366" s="42"/>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row>
    <row r="367" spans="1:28">
      <c r="A367" s="31"/>
      <c r="B367" s="31"/>
      <c r="C367" s="42"/>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row>
    <row r="368" spans="1:28">
      <c r="A368" s="31"/>
      <c r="B368" s="31"/>
      <c r="C368" s="42"/>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row>
    <row r="369" spans="1:28">
      <c r="A369" s="31"/>
      <c r="B369" s="31"/>
      <c r="C369" s="42"/>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row>
    <row r="370" spans="1:28">
      <c r="A370" s="31"/>
      <c r="B370" s="31"/>
      <c r="C370" s="42"/>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row>
    <row r="371" spans="1:28">
      <c r="A371" s="31"/>
      <c r="B371" s="31"/>
      <c r="C371" s="42"/>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row>
    <row r="372" spans="1:28">
      <c r="A372" s="31"/>
      <c r="B372" s="31"/>
      <c r="C372" s="42"/>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row>
    <row r="373" spans="1:28">
      <c r="A373" s="31"/>
      <c r="B373" s="31"/>
      <c r="C373" s="42"/>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row>
    <row r="374" spans="1:28">
      <c r="A374" s="31"/>
      <c r="B374" s="31"/>
      <c r="C374" s="42"/>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row>
    <row r="375" spans="1:28">
      <c r="A375" s="31"/>
      <c r="B375" s="31"/>
      <c r="C375" s="42"/>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row>
    <row r="376" spans="1:28">
      <c r="A376" s="31"/>
      <c r="B376" s="31"/>
      <c r="C376" s="42"/>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row>
    <row r="377" spans="1:28">
      <c r="A377" s="31"/>
      <c r="B377" s="31"/>
      <c r="C377" s="42"/>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row>
    <row r="378" spans="1:28">
      <c r="A378" s="31"/>
      <c r="B378" s="31"/>
      <c r="C378" s="42"/>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row>
    <row r="379" spans="1:28">
      <c r="A379" s="31"/>
      <c r="B379" s="31"/>
      <c r="C379" s="42"/>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row>
    <row r="380" spans="1:28">
      <c r="A380" s="31"/>
      <c r="B380" s="31"/>
      <c r="C380" s="42"/>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row>
    <row r="381" spans="1:28">
      <c r="A381" s="31"/>
      <c r="B381" s="31"/>
      <c r="C381" s="42"/>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row>
    <row r="382" spans="1:28">
      <c r="A382" s="31"/>
      <c r="B382" s="31"/>
      <c r="C382" s="42"/>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row>
    <row r="383" spans="1:28">
      <c r="A383" s="31"/>
      <c r="B383" s="31"/>
      <c r="C383" s="42"/>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row>
    <row r="384" spans="1:28">
      <c r="A384" s="31"/>
      <c r="B384" s="31"/>
      <c r="C384" s="42"/>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row>
    <row r="385" spans="1:28">
      <c r="A385" s="31"/>
      <c r="B385" s="31"/>
      <c r="C385" s="42"/>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row>
    <row r="386" spans="1:28">
      <c r="A386" s="31"/>
      <c r="B386" s="31"/>
      <c r="C386" s="42"/>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row>
    <row r="387" spans="1:28">
      <c r="A387" s="31"/>
      <c r="B387" s="31"/>
      <c r="C387" s="42"/>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row>
    <row r="388" spans="1:28">
      <c r="A388" s="31"/>
      <c r="B388" s="31"/>
      <c r="C388" s="42"/>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row>
    <row r="389" spans="1:28">
      <c r="A389" s="31"/>
      <c r="B389" s="31"/>
      <c r="C389" s="42"/>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row>
    <row r="390" spans="1:28">
      <c r="A390" s="31"/>
      <c r="B390" s="31"/>
      <c r="C390" s="42"/>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row>
    <row r="391" spans="1:28">
      <c r="A391" s="31"/>
      <c r="B391" s="31"/>
      <c r="C391" s="42"/>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row>
    <row r="392" spans="1:28">
      <c r="A392" s="31"/>
      <c r="B392" s="31"/>
      <c r="C392" s="42"/>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row>
    <row r="393" spans="1:28">
      <c r="A393" s="31"/>
      <c r="B393" s="31"/>
      <c r="C393" s="42"/>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row>
    <row r="394" spans="1:28">
      <c r="A394" s="31"/>
      <c r="B394" s="31"/>
      <c r="C394" s="42"/>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row>
    <row r="395" spans="1:28">
      <c r="A395" s="31"/>
      <c r="B395" s="31"/>
      <c r="C395" s="42"/>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row>
    <row r="396" spans="1:28">
      <c r="A396" s="31"/>
      <c r="B396" s="31"/>
      <c r="C396" s="42"/>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row>
    <row r="397" spans="1:28">
      <c r="A397" s="31"/>
      <c r="B397" s="31"/>
      <c r="C397" s="42"/>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row>
    <row r="398" spans="1:28">
      <c r="A398" s="31"/>
      <c r="B398" s="31"/>
      <c r="C398" s="42"/>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row>
    <row r="399" spans="1:28">
      <c r="A399" s="31"/>
      <c r="B399" s="31"/>
      <c r="C399" s="42"/>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row>
    <row r="400" spans="1:28">
      <c r="A400" s="31"/>
      <c r="B400" s="31"/>
      <c r="C400" s="42"/>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row>
    <row r="401" spans="1:28">
      <c r="A401" s="31"/>
      <c r="B401" s="31"/>
      <c r="C401" s="42"/>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row>
    <row r="402" spans="1:28">
      <c r="A402" s="31"/>
      <c r="B402" s="31"/>
      <c r="C402" s="42"/>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row>
    <row r="403" spans="1:28">
      <c r="A403" s="31"/>
      <c r="B403" s="31"/>
      <c r="C403" s="42"/>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row>
    <row r="404" spans="1:28">
      <c r="A404" s="31"/>
      <c r="B404" s="31"/>
      <c r="C404" s="42"/>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row>
    <row r="405" spans="1:28">
      <c r="A405" s="31"/>
      <c r="B405" s="31"/>
      <c r="C405" s="42"/>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row>
    <row r="406" spans="1:28">
      <c r="A406" s="31"/>
      <c r="B406" s="31"/>
      <c r="C406" s="42"/>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row>
    <row r="407" spans="1:28">
      <c r="A407" s="31"/>
      <c r="B407" s="31"/>
      <c r="C407" s="42"/>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row>
    <row r="408" spans="1:28">
      <c r="A408" s="31"/>
      <c r="B408" s="31"/>
      <c r="C408" s="42"/>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row>
    <row r="409" spans="1:28">
      <c r="A409" s="31"/>
      <c r="B409" s="31"/>
      <c r="C409" s="42"/>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row>
    <row r="410" spans="1:28">
      <c r="A410" s="31"/>
      <c r="B410" s="31"/>
      <c r="C410" s="42"/>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row>
    <row r="411" spans="1:28">
      <c r="A411" s="31"/>
      <c r="B411" s="31"/>
      <c r="C411" s="42"/>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row>
    <row r="412" spans="1:28">
      <c r="A412" s="31"/>
      <c r="B412" s="31"/>
      <c r="C412" s="42"/>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row>
    <row r="413" spans="1:28">
      <c r="A413" s="31"/>
      <c r="B413" s="31"/>
      <c r="C413" s="42"/>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row>
    <row r="414" spans="1:28">
      <c r="A414" s="31"/>
      <c r="B414" s="31"/>
      <c r="C414" s="42"/>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row>
    <row r="415" spans="1:28">
      <c r="A415" s="31"/>
      <c r="B415" s="31"/>
      <c r="C415" s="42"/>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row>
    <row r="416" spans="1:28">
      <c r="A416" s="31"/>
      <c r="B416" s="31"/>
      <c r="C416" s="42"/>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row>
    <row r="417" spans="1:28">
      <c r="A417" s="31"/>
      <c r="B417" s="31"/>
      <c r="C417" s="42"/>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row>
    <row r="418" spans="1:28">
      <c r="A418" s="31"/>
      <c r="B418" s="31"/>
      <c r="C418" s="42"/>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row>
    <row r="419" spans="1:28">
      <c r="A419" s="31"/>
      <c r="B419" s="31"/>
      <c r="C419" s="42"/>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row>
    <row r="420" spans="1:28">
      <c r="A420" s="31"/>
      <c r="B420" s="31"/>
      <c r="C420" s="42"/>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row>
    <row r="421" spans="1:28">
      <c r="A421" s="31"/>
      <c r="B421" s="31"/>
      <c r="C421" s="42"/>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row>
    <row r="422" spans="1:28">
      <c r="A422" s="31"/>
      <c r="B422" s="31"/>
      <c r="C422" s="42"/>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row>
    <row r="423" spans="1:28">
      <c r="A423" s="31"/>
      <c r="B423" s="31"/>
      <c r="C423" s="42"/>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row>
    <row r="424" spans="1:28">
      <c r="A424" s="31"/>
      <c r="B424" s="31"/>
      <c r="C424" s="42"/>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row>
    <row r="425" spans="1:28">
      <c r="A425" s="31"/>
      <c r="B425" s="31"/>
      <c r="C425" s="42"/>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row>
    <row r="426" spans="1:28">
      <c r="A426" s="31"/>
      <c r="B426" s="31"/>
      <c r="C426" s="42"/>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row>
    <row r="427" spans="1:28">
      <c r="A427" s="31"/>
      <c r="B427" s="31"/>
      <c r="C427" s="42"/>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row>
    <row r="428" spans="1:28">
      <c r="A428" s="31"/>
      <c r="B428" s="31"/>
      <c r="C428" s="42"/>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row>
    <row r="429" spans="1:28">
      <c r="A429" s="31"/>
      <c r="B429" s="31"/>
      <c r="C429" s="42"/>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row>
    <row r="430" spans="1:28">
      <c r="A430" s="31"/>
      <c r="B430" s="31"/>
      <c r="C430" s="42"/>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row>
    <row r="431" spans="1:28">
      <c r="A431" s="31"/>
      <c r="B431" s="31"/>
      <c r="C431" s="42"/>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row>
    <row r="432" spans="1:28">
      <c r="A432" s="31"/>
      <c r="B432" s="31"/>
      <c r="C432" s="42"/>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row>
    <row r="433" spans="1:28">
      <c r="A433" s="31"/>
      <c r="B433" s="31"/>
      <c r="C433" s="42"/>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row>
    <row r="434" spans="1:28">
      <c r="A434" s="31"/>
      <c r="B434" s="31"/>
      <c r="C434" s="42"/>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row>
    <row r="435" spans="1:28">
      <c r="A435" s="31"/>
      <c r="B435" s="31"/>
      <c r="C435" s="42"/>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row>
    <row r="436" spans="1:28">
      <c r="A436" s="31"/>
      <c r="B436" s="31"/>
      <c r="C436" s="42"/>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row>
    <row r="437" spans="1:28">
      <c r="A437" s="31"/>
      <c r="B437" s="31"/>
      <c r="C437" s="42"/>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row>
    <row r="438" spans="1:28">
      <c r="A438" s="31"/>
      <c r="B438" s="31"/>
      <c r="C438" s="42"/>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row>
    <row r="439" spans="1:28">
      <c r="A439" s="31"/>
      <c r="B439" s="31"/>
      <c r="C439" s="42"/>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row>
    <row r="440" spans="1:28">
      <c r="A440" s="31"/>
      <c r="B440" s="31"/>
      <c r="C440" s="42"/>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row>
    <row r="441" spans="1:28">
      <c r="A441" s="31"/>
      <c r="B441" s="31"/>
      <c r="C441" s="42"/>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row>
    <row r="442" spans="1:28">
      <c r="A442" s="31"/>
      <c r="B442" s="31"/>
      <c r="C442" s="42"/>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row>
    <row r="443" spans="1:28">
      <c r="A443" s="31"/>
      <c r="B443" s="31"/>
      <c r="C443" s="42"/>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row>
    <row r="444" spans="1:28">
      <c r="A444" s="31"/>
      <c r="B444" s="31"/>
      <c r="C444" s="42"/>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row>
    <row r="445" spans="1:28">
      <c r="A445" s="31"/>
      <c r="B445" s="31"/>
      <c r="C445" s="42"/>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row>
    <row r="446" spans="1:28">
      <c r="A446" s="31"/>
      <c r="B446" s="31"/>
      <c r="C446" s="42"/>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row>
    <row r="447" spans="1:28">
      <c r="A447" s="31"/>
      <c r="B447" s="31"/>
      <c r="C447" s="42"/>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row>
    <row r="448" spans="1:28">
      <c r="A448" s="31"/>
      <c r="B448" s="31"/>
      <c r="C448" s="42"/>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row>
    <row r="449" spans="1:28">
      <c r="A449" s="31"/>
      <c r="B449" s="31"/>
      <c r="C449" s="42"/>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row>
    <row r="450" spans="1:28">
      <c r="A450" s="31"/>
      <c r="B450" s="31"/>
      <c r="C450" s="42"/>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row>
    <row r="451" spans="1:28">
      <c r="A451" s="31"/>
      <c r="B451" s="31"/>
      <c r="C451" s="42"/>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row>
    <row r="452" spans="1:28">
      <c r="A452" s="31"/>
      <c r="B452" s="31"/>
      <c r="C452" s="42"/>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row>
    <row r="453" spans="1:28">
      <c r="A453" s="31"/>
      <c r="B453" s="31"/>
      <c r="C453" s="42"/>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row>
    <row r="454" spans="1:28">
      <c r="A454" s="31"/>
      <c r="B454" s="31"/>
      <c r="C454" s="42"/>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row>
    <row r="455" spans="1:28">
      <c r="A455" s="31"/>
      <c r="B455" s="31"/>
      <c r="C455" s="42"/>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row>
    <row r="456" spans="1:28">
      <c r="A456" s="31"/>
      <c r="B456" s="31"/>
      <c r="C456" s="42"/>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row>
    <row r="457" spans="1:28">
      <c r="A457" s="31"/>
      <c r="B457" s="31"/>
      <c r="C457" s="42"/>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row>
    <row r="458" spans="1:28">
      <c r="A458" s="31"/>
      <c r="B458" s="31"/>
      <c r="C458" s="42"/>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row>
    <row r="459" spans="1:28">
      <c r="A459" s="31"/>
      <c r="B459" s="31"/>
      <c r="C459" s="42"/>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row>
    <row r="460" spans="1:28">
      <c r="A460" s="31"/>
      <c r="B460" s="31"/>
      <c r="C460" s="42"/>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row>
    <row r="461" spans="1:28">
      <c r="A461" s="31"/>
      <c r="B461" s="31"/>
      <c r="C461" s="42"/>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row>
    <row r="462" spans="1:28">
      <c r="A462" s="31"/>
      <c r="B462" s="31"/>
      <c r="C462" s="42"/>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row>
    <row r="463" spans="1:28">
      <c r="A463" s="31"/>
      <c r="B463" s="31"/>
      <c r="C463" s="42"/>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row>
    <row r="464" spans="1:28">
      <c r="A464" s="31"/>
      <c r="B464" s="31"/>
      <c r="C464" s="42"/>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row>
    <row r="465" spans="1:28">
      <c r="A465" s="31"/>
      <c r="B465" s="31"/>
      <c r="C465" s="42"/>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row>
    <row r="466" spans="1:28">
      <c r="A466" s="31"/>
      <c r="B466" s="31"/>
      <c r="C466" s="42"/>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row>
    <row r="467" spans="1:28">
      <c r="A467" s="31"/>
      <c r="B467" s="31"/>
      <c r="C467" s="42"/>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row>
    <row r="468" spans="1:28">
      <c r="A468" s="31"/>
      <c r="B468" s="31"/>
      <c r="C468" s="42"/>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row>
    <row r="469" spans="1:28">
      <c r="A469" s="31"/>
      <c r="B469" s="31"/>
      <c r="C469" s="42"/>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row>
    <row r="470" spans="1:28">
      <c r="A470" s="31"/>
      <c r="B470" s="31"/>
      <c r="C470" s="42"/>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row>
    <row r="471" spans="1:28">
      <c r="A471" s="31"/>
      <c r="B471" s="31"/>
      <c r="C471" s="42"/>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row>
    <row r="472" spans="1:28">
      <c r="A472" s="31"/>
      <c r="B472" s="31"/>
      <c r="C472" s="42"/>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row>
    <row r="473" spans="1:28">
      <c r="A473" s="31"/>
      <c r="B473" s="31"/>
      <c r="C473" s="42"/>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row>
    <row r="474" spans="1:28">
      <c r="A474" s="31"/>
      <c r="B474" s="31"/>
      <c r="C474" s="42"/>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row>
    <row r="475" spans="1:28">
      <c r="A475" s="31"/>
      <c r="B475" s="31"/>
      <c r="C475" s="42"/>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row>
    <row r="476" spans="1:28">
      <c r="A476" s="31"/>
      <c r="B476" s="31"/>
      <c r="C476" s="42"/>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row>
    <row r="477" spans="1:28">
      <c r="A477" s="31"/>
      <c r="B477" s="31"/>
      <c r="C477" s="42"/>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row>
    <row r="478" spans="1:28">
      <c r="A478" s="31"/>
      <c r="B478" s="31"/>
      <c r="C478" s="42"/>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row>
    <row r="479" spans="1:28">
      <c r="A479" s="31"/>
      <c r="B479" s="31"/>
      <c r="C479" s="42"/>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row>
    <row r="480" spans="1:28">
      <c r="A480" s="31"/>
      <c r="B480" s="31"/>
      <c r="C480" s="42"/>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row>
    <row r="481" spans="1:28">
      <c r="A481" s="31"/>
      <c r="B481" s="31"/>
      <c r="C481" s="42"/>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row>
    <row r="482" spans="1:28">
      <c r="A482" s="31"/>
      <c r="B482" s="31"/>
      <c r="C482" s="42"/>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row>
    <row r="483" spans="1:28">
      <c r="A483" s="31"/>
      <c r="B483" s="31"/>
      <c r="C483" s="42"/>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row>
    <row r="484" spans="1:28">
      <c r="A484" s="31"/>
      <c r="B484" s="31"/>
      <c r="C484" s="42"/>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row>
    <row r="485" spans="1:28">
      <c r="A485" s="31"/>
      <c r="B485" s="31"/>
      <c r="C485" s="42"/>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row>
    <row r="486" spans="1:28">
      <c r="A486" s="31"/>
      <c r="B486" s="31"/>
      <c r="C486" s="42"/>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row>
    <row r="487" spans="1:28">
      <c r="A487" s="31"/>
      <c r="B487" s="31"/>
      <c r="C487" s="42"/>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row>
    <row r="488" spans="1:28">
      <c r="A488" s="31"/>
      <c r="B488" s="31"/>
      <c r="C488" s="42"/>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row>
    <row r="489" spans="1:28">
      <c r="A489" s="31"/>
      <c r="B489" s="31"/>
      <c r="C489" s="42"/>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row>
    <row r="490" spans="1:28">
      <c r="A490" s="31"/>
      <c r="B490" s="31"/>
      <c r="C490" s="42"/>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row>
    <row r="491" spans="1:28">
      <c r="A491" s="31"/>
      <c r="B491" s="31"/>
      <c r="C491" s="42"/>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row>
    <row r="492" spans="1:28">
      <c r="A492" s="31"/>
      <c r="B492" s="31"/>
      <c r="C492" s="42"/>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row>
    <row r="493" spans="1:28">
      <c r="A493" s="31"/>
      <c r="B493" s="31"/>
      <c r="C493" s="42"/>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row>
    <row r="494" spans="1:28">
      <c r="A494" s="31"/>
      <c r="B494" s="31"/>
      <c r="C494" s="42"/>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row>
    <row r="495" spans="1:28">
      <c r="A495" s="31"/>
      <c r="B495" s="31"/>
      <c r="C495" s="42"/>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row>
    <row r="496" spans="1:28">
      <c r="A496" s="31"/>
      <c r="B496" s="31"/>
      <c r="C496" s="42"/>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row>
    <row r="497" spans="1:28">
      <c r="A497" s="31"/>
      <c r="B497" s="31"/>
      <c r="C497" s="42"/>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row>
    <row r="498" spans="1:28">
      <c r="A498" s="31"/>
      <c r="B498" s="31"/>
      <c r="C498" s="42"/>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row>
    <row r="499" spans="1:28">
      <c r="A499" s="31"/>
      <c r="B499" s="31"/>
      <c r="C499" s="42"/>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row>
    <row r="500" spans="1:28">
      <c r="A500" s="31"/>
      <c r="B500" s="31"/>
      <c r="C500" s="42"/>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row>
    <row r="501" spans="1:28">
      <c r="A501" s="31"/>
      <c r="B501" s="31"/>
      <c r="C501" s="42"/>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row>
    <row r="502" spans="1:28">
      <c r="A502" s="31"/>
      <c r="B502" s="31"/>
      <c r="C502" s="42"/>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row>
    <row r="503" spans="1:28">
      <c r="A503" s="31"/>
      <c r="B503" s="31"/>
      <c r="C503" s="42"/>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row>
    <row r="504" spans="1:28">
      <c r="A504" s="31"/>
      <c r="B504" s="31"/>
      <c r="C504" s="42"/>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row>
    <row r="505" spans="1:28">
      <c r="A505" s="31"/>
      <c r="B505" s="31"/>
      <c r="C505" s="42"/>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row>
    <row r="506" spans="1:28">
      <c r="A506" s="31"/>
      <c r="B506" s="31"/>
      <c r="C506" s="42"/>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row>
    <row r="507" spans="1:28">
      <c r="A507" s="31"/>
      <c r="B507" s="31"/>
      <c r="C507" s="42"/>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row>
    <row r="508" spans="1:28">
      <c r="A508" s="31"/>
      <c r="B508" s="31"/>
      <c r="C508" s="42"/>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row>
    <row r="509" spans="1:28">
      <c r="A509" s="31"/>
      <c r="B509" s="31"/>
      <c r="C509" s="42"/>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row>
    <row r="510" spans="1:28">
      <c r="A510" s="31"/>
      <c r="B510" s="31"/>
      <c r="C510" s="42"/>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row>
    <row r="511" spans="1:28">
      <c r="A511" s="31"/>
      <c r="B511" s="31"/>
      <c r="C511" s="42"/>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row>
    <row r="512" spans="1:28">
      <c r="A512" s="31"/>
      <c r="B512" s="31"/>
      <c r="C512" s="42"/>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row>
    <row r="513" spans="1:28">
      <c r="A513" s="31"/>
      <c r="B513" s="31"/>
      <c r="C513" s="42"/>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row>
    <row r="514" spans="1:28">
      <c r="A514" s="31"/>
      <c r="B514" s="31"/>
      <c r="C514" s="42"/>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row>
    <row r="515" spans="1:28">
      <c r="A515" s="31"/>
      <c r="B515" s="31"/>
      <c r="C515" s="42"/>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row>
    <row r="516" spans="1:28">
      <c r="A516" s="31"/>
      <c r="B516" s="31"/>
      <c r="C516" s="42"/>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row>
    <row r="517" spans="1:28">
      <c r="A517" s="31"/>
      <c r="B517" s="31"/>
      <c r="C517" s="42"/>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row>
    <row r="518" spans="1:28">
      <c r="A518" s="31"/>
      <c r="B518" s="31"/>
      <c r="C518" s="42"/>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row>
    <row r="519" spans="1:28">
      <c r="A519" s="31"/>
      <c r="B519" s="31"/>
      <c r="C519" s="42"/>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row>
    <row r="520" spans="1:28">
      <c r="A520" s="31"/>
      <c r="B520" s="31"/>
      <c r="C520" s="42"/>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row>
    <row r="521" spans="1:28">
      <c r="A521" s="31"/>
      <c r="B521" s="31"/>
      <c r="C521" s="42"/>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row>
    <row r="522" spans="1:28">
      <c r="A522" s="31"/>
      <c r="B522" s="31"/>
      <c r="C522" s="42"/>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row>
    <row r="523" spans="1:28">
      <c r="A523" s="31"/>
      <c r="B523" s="31"/>
      <c r="C523" s="42"/>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row>
    <row r="524" spans="1:28">
      <c r="A524" s="31"/>
      <c r="B524" s="31"/>
      <c r="C524" s="42"/>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row>
    <row r="525" spans="1:28">
      <c r="A525" s="31"/>
      <c r="B525" s="31"/>
      <c r="C525" s="42"/>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row>
    <row r="526" spans="1:28">
      <c r="A526" s="31"/>
      <c r="B526" s="31"/>
      <c r="C526" s="42"/>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row>
    <row r="527" spans="1:28">
      <c r="A527" s="31"/>
      <c r="B527" s="31"/>
      <c r="C527" s="42"/>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row>
    <row r="528" spans="1:28">
      <c r="A528" s="31"/>
      <c r="B528" s="31"/>
      <c r="C528" s="42"/>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row>
    <row r="529" spans="1:28">
      <c r="A529" s="31"/>
      <c r="B529" s="31"/>
      <c r="C529" s="42"/>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row>
    <row r="530" spans="1:28">
      <c r="A530" s="31"/>
      <c r="B530" s="31"/>
      <c r="C530" s="42"/>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row>
    <row r="531" spans="1:28">
      <c r="A531" s="31"/>
      <c r="B531" s="31"/>
      <c r="C531" s="42"/>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row>
    <row r="532" spans="1:28">
      <c r="A532" s="31"/>
      <c r="B532" s="31"/>
      <c r="C532" s="42"/>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row>
    <row r="533" spans="1:28">
      <c r="A533" s="31"/>
      <c r="B533" s="31"/>
      <c r="C533" s="42"/>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row>
    <row r="534" spans="1:28">
      <c r="A534" s="31"/>
      <c r="B534" s="31"/>
      <c r="C534" s="42"/>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row>
    <row r="535" spans="1:28">
      <c r="A535" s="31"/>
      <c r="B535" s="31"/>
      <c r="C535" s="42"/>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row>
    <row r="536" spans="1:28">
      <c r="A536" s="31"/>
      <c r="B536" s="31"/>
      <c r="C536" s="42"/>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row>
    <row r="537" spans="1:28">
      <c r="A537" s="31"/>
      <c r="B537" s="31"/>
      <c r="C537" s="42"/>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row>
    <row r="538" spans="1:28">
      <c r="A538" s="31"/>
      <c r="B538" s="31"/>
      <c r="C538" s="42"/>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row>
    <row r="539" spans="1:28">
      <c r="A539" s="31"/>
      <c r="B539" s="31"/>
      <c r="C539" s="42"/>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row>
    <row r="540" spans="1:28">
      <c r="A540" s="31"/>
      <c r="B540" s="31"/>
      <c r="C540" s="42"/>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row>
    <row r="541" spans="1:28">
      <c r="A541" s="31"/>
      <c r="B541" s="31"/>
      <c r="C541" s="42"/>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row>
    <row r="542" spans="1:28">
      <c r="A542" s="31"/>
      <c r="B542" s="31"/>
      <c r="C542" s="42"/>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row>
    <row r="543" spans="1:28">
      <c r="A543" s="31"/>
      <c r="B543" s="31"/>
      <c r="C543" s="42"/>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row>
    <row r="544" spans="1:28">
      <c r="A544" s="31"/>
      <c r="B544" s="31"/>
      <c r="C544" s="42"/>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row>
    <row r="545" spans="1:28">
      <c r="A545" s="31"/>
      <c r="B545" s="31"/>
      <c r="C545" s="42"/>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row>
    <row r="546" spans="1:28">
      <c r="A546" s="31"/>
      <c r="B546" s="31"/>
      <c r="C546" s="42"/>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row>
    <row r="547" spans="1:28">
      <c r="A547" s="31"/>
      <c r="B547" s="31"/>
      <c r="C547" s="42"/>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row>
    <row r="548" spans="1:28">
      <c r="A548" s="31"/>
      <c r="B548" s="31"/>
      <c r="C548" s="42"/>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row>
    <row r="549" spans="1:28">
      <c r="A549" s="31"/>
      <c r="B549" s="31"/>
      <c r="C549" s="42"/>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row>
    <row r="550" spans="1:28">
      <c r="A550" s="31"/>
      <c r="B550" s="31"/>
      <c r="C550" s="42"/>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row>
    <row r="551" spans="1:28">
      <c r="A551" s="31"/>
      <c r="B551" s="31"/>
      <c r="C551" s="42"/>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row>
    <row r="552" spans="1:28">
      <c r="A552" s="31"/>
      <c r="B552" s="31"/>
      <c r="C552" s="42"/>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row>
    <row r="553" spans="1:28">
      <c r="A553" s="31"/>
      <c r="B553" s="31"/>
      <c r="C553" s="42"/>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row>
    <row r="554" spans="1:28">
      <c r="A554" s="31"/>
      <c r="B554" s="31"/>
      <c r="C554" s="42"/>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row>
    <row r="555" spans="1:28">
      <c r="A555" s="31"/>
      <c r="B555" s="31"/>
      <c r="C555" s="42"/>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row>
    <row r="556" spans="1:28">
      <c r="A556" s="31"/>
      <c r="B556" s="31"/>
      <c r="C556" s="42"/>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row>
    <row r="557" spans="1:28">
      <c r="A557" s="31"/>
      <c r="B557" s="31"/>
      <c r="C557" s="42"/>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row>
    <row r="558" spans="1:28">
      <c r="A558" s="31"/>
      <c r="B558" s="31"/>
      <c r="C558" s="42"/>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row>
    <row r="559" spans="1:28">
      <c r="A559" s="31"/>
      <c r="B559" s="31"/>
      <c r="C559" s="42"/>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row>
    <row r="560" spans="1:28">
      <c r="A560" s="31"/>
      <c r="B560" s="31"/>
      <c r="C560" s="42"/>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row>
    <row r="561" spans="1:28">
      <c r="A561" s="31"/>
      <c r="B561" s="31"/>
      <c r="C561" s="42"/>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row>
    <row r="562" spans="1:28">
      <c r="A562" s="31"/>
      <c r="B562" s="31"/>
      <c r="C562" s="42"/>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row>
    <row r="563" spans="1:28">
      <c r="A563" s="31"/>
      <c r="B563" s="31"/>
      <c r="C563" s="42"/>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row>
    <row r="564" spans="1:28">
      <c r="A564" s="31"/>
      <c r="B564" s="31"/>
      <c r="C564" s="42"/>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row>
    <row r="565" spans="1:28">
      <c r="A565" s="31"/>
      <c r="B565" s="31"/>
      <c r="C565" s="42"/>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row>
    <row r="566" spans="1:28">
      <c r="A566" s="31"/>
      <c r="B566" s="31"/>
      <c r="C566" s="42"/>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row>
    <row r="567" spans="1:28">
      <c r="A567" s="31"/>
      <c r="B567" s="31"/>
      <c r="C567" s="42"/>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row>
    <row r="568" spans="1:28">
      <c r="A568" s="31"/>
      <c r="B568" s="31"/>
      <c r="C568" s="42"/>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row>
    <row r="569" spans="1:28">
      <c r="A569" s="31"/>
      <c r="B569" s="31"/>
      <c r="C569" s="42"/>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row>
    <row r="570" spans="1:28">
      <c r="A570" s="31"/>
      <c r="B570" s="31"/>
      <c r="C570" s="42"/>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row>
    <row r="571" spans="1:28">
      <c r="A571" s="31"/>
      <c r="B571" s="31"/>
      <c r="C571" s="42"/>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row>
    <row r="572" spans="1:28">
      <c r="A572" s="31"/>
      <c r="B572" s="31"/>
      <c r="C572" s="42"/>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row>
    <row r="573" spans="1:28">
      <c r="A573" s="31"/>
      <c r="B573" s="31"/>
      <c r="C573" s="42"/>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row>
    <row r="574" spans="1:28">
      <c r="A574" s="31"/>
      <c r="B574" s="31"/>
      <c r="C574" s="42"/>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row>
    <row r="575" spans="1:28">
      <c r="A575" s="31"/>
      <c r="B575" s="31"/>
      <c r="C575" s="42"/>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row>
    <row r="576" spans="1:28">
      <c r="A576" s="31"/>
      <c r="B576" s="31"/>
      <c r="C576" s="42"/>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row>
    <row r="577" spans="1:28">
      <c r="A577" s="31"/>
      <c r="B577" s="31"/>
      <c r="C577" s="42"/>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row>
    <row r="578" spans="1:28">
      <c r="A578" s="31"/>
      <c r="B578" s="31"/>
      <c r="C578" s="42"/>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row>
    <row r="579" spans="1:28">
      <c r="A579" s="31"/>
      <c r="B579" s="31"/>
      <c r="C579" s="42"/>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row>
    <row r="580" spans="1:28">
      <c r="A580" s="31"/>
      <c r="B580" s="31"/>
      <c r="C580" s="42"/>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row>
    <row r="581" spans="1:28">
      <c r="A581" s="31"/>
      <c r="B581" s="31"/>
      <c r="C581" s="42"/>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row>
    <row r="582" spans="1:28">
      <c r="A582" s="31"/>
      <c r="B582" s="31"/>
      <c r="C582" s="42"/>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row>
    <row r="583" spans="1:28">
      <c r="A583" s="31"/>
      <c r="B583" s="31"/>
      <c r="C583" s="42"/>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row>
    <row r="584" spans="1:28">
      <c r="A584" s="31"/>
      <c r="B584" s="31"/>
      <c r="C584" s="42"/>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row>
    <row r="585" spans="1:28">
      <c r="A585" s="31"/>
      <c r="B585" s="31"/>
      <c r="C585" s="42"/>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row>
    <row r="586" spans="1:28">
      <c r="A586" s="31"/>
      <c r="B586" s="31"/>
      <c r="C586" s="42"/>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row>
    <row r="587" spans="1:28">
      <c r="A587" s="31"/>
      <c r="B587" s="31"/>
      <c r="C587" s="42"/>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row>
    <row r="588" spans="1:28">
      <c r="A588" s="31"/>
      <c r="B588" s="31"/>
      <c r="C588" s="42"/>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row>
    <row r="589" spans="1:28">
      <c r="A589" s="31"/>
      <c r="B589" s="31"/>
      <c r="C589" s="42"/>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row>
    <row r="590" spans="1:28">
      <c r="A590" s="31"/>
      <c r="B590" s="31"/>
      <c r="C590" s="42"/>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row>
    <row r="591" spans="1:28">
      <c r="A591" s="31"/>
      <c r="B591" s="31"/>
      <c r="C591" s="42"/>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row>
    <row r="592" spans="1:28">
      <c r="A592" s="31"/>
      <c r="B592" s="31"/>
      <c r="C592" s="42"/>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row>
    <row r="593" spans="1:28">
      <c r="A593" s="31"/>
      <c r="B593" s="31"/>
      <c r="C593" s="42"/>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row>
    <row r="594" spans="1:28">
      <c r="A594" s="31"/>
      <c r="B594" s="31"/>
      <c r="C594" s="42"/>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row>
    <row r="595" spans="1:28">
      <c r="A595" s="31"/>
      <c r="B595" s="31"/>
      <c r="C595" s="42"/>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row>
    <row r="596" spans="1:28">
      <c r="A596" s="31"/>
      <c r="B596" s="31"/>
      <c r="C596" s="42"/>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row>
    <row r="597" spans="1:28">
      <c r="A597" s="31"/>
      <c r="B597" s="31"/>
      <c r="C597" s="42"/>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row>
    <row r="598" spans="1:28">
      <c r="A598" s="31"/>
      <c r="B598" s="31"/>
      <c r="C598" s="42"/>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row>
    <row r="599" spans="1:28">
      <c r="A599" s="31"/>
      <c r="B599" s="31"/>
      <c r="C599" s="42"/>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row>
    <row r="600" spans="1:28">
      <c r="A600" s="31"/>
      <c r="B600" s="31"/>
      <c r="C600" s="42"/>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row>
    <row r="601" spans="1:28">
      <c r="A601" s="31"/>
      <c r="B601" s="31"/>
      <c r="C601" s="42"/>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row>
    <row r="602" spans="1:28">
      <c r="A602" s="31"/>
      <c r="B602" s="31"/>
      <c r="C602" s="42"/>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row>
    <row r="603" spans="1:28">
      <c r="A603" s="31"/>
      <c r="B603" s="31"/>
      <c r="C603" s="42"/>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row>
    <row r="604" spans="1:28">
      <c r="A604" s="31"/>
      <c r="B604" s="31"/>
      <c r="C604" s="42"/>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row>
    <row r="605" spans="1:28">
      <c r="A605" s="31"/>
      <c r="B605" s="31"/>
      <c r="C605" s="42"/>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row>
    <row r="606" spans="1:28">
      <c r="A606" s="31"/>
      <c r="B606" s="31"/>
      <c r="C606" s="42"/>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row>
    <row r="607" spans="1:28">
      <c r="A607" s="31"/>
      <c r="B607" s="31"/>
      <c r="C607" s="42"/>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row>
    <row r="608" spans="1:28">
      <c r="A608" s="31"/>
      <c r="B608" s="31"/>
      <c r="C608" s="42"/>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row>
    <row r="609" spans="1:28">
      <c r="A609" s="31"/>
      <c r="B609" s="31"/>
      <c r="C609" s="42"/>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row>
    <row r="610" spans="1:28">
      <c r="A610" s="31"/>
      <c r="B610" s="31"/>
      <c r="C610" s="42"/>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row>
    <row r="611" spans="1:28">
      <c r="A611" s="31"/>
      <c r="B611" s="31"/>
      <c r="C611" s="42"/>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row>
    <row r="612" spans="1:28">
      <c r="A612" s="31"/>
      <c r="B612" s="31"/>
      <c r="C612" s="42"/>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row>
    <row r="613" spans="1:28">
      <c r="A613" s="31"/>
      <c r="B613" s="31"/>
      <c r="C613" s="42"/>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row>
    <row r="614" spans="1:28">
      <c r="A614" s="31"/>
      <c r="B614" s="31"/>
      <c r="C614" s="42"/>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row>
    <row r="615" spans="1:28">
      <c r="A615" s="31"/>
      <c r="B615" s="31"/>
      <c r="C615" s="42"/>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row>
    <row r="616" spans="1:28">
      <c r="A616" s="31"/>
      <c r="B616" s="31"/>
      <c r="C616" s="42"/>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row>
    <row r="617" spans="1:28">
      <c r="A617" s="31"/>
      <c r="B617" s="31"/>
      <c r="C617" s="42"/>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row>
    <row r="618" spans="1:28">
      <c r="A618" s="31"/>
      <c r="B618" s="31"/>
      <c r="C618" s="42"/>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row>
    <row r="619" spans="1:28">
      <c r="A619" s="31"/>
      <c r="B619" s="31"/>
      <c r="C619" s="42"/>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row>
    <row r="620" spans="1:28">
      <c r="A620" s="31"/>
      <c r="B620" s="31"/>
      <c r="C620" s="42"/>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row>
    <row r="621" spans="1:28">
      <c r="A621" s="31"/>
      <c r="B621" s="31"/>
      <c r="C621" s="42"/>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row>
    <row r="622" spans="1:28">
      <c r="A622" s="31"/>
      <c r="B622" s="31"/>
      <c r="C622" s="42"/>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row>
    <row r="623" spans="1:28">
      <c r="A623" s="31"/>
      <c r="B623" s="31"/>
      <c r="C623" s="42"/>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row>
    <row r="624" spans="1:28">
      <c r="A624" s="31"/>
      <c r="B624" s="31"/>
      <c r="C624" s="42"/>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row>
    <row r="625" spans="1:28">
      <c r="A625" s="31"/>
      <c r="B625" s="31"/>
      <c r="C625" s="42"/>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row>
    <row r="626" spans="1:28">
      <c r="A626" s="31"/>
      <c r="B626" s="31"/>
      <c r="C626" s="42"/>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row>
    <row r="627" spans="1:28">
      <c r="A627" s="31"/>
      <c r="B627" s="31"/>
      <c r="C627" s="42"/>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row>
    <row r="628" spans="1:28">
      <c r="A628" s="31"/>
      <c r="B628" s="31"/>
      <c r="C628" s="42"/>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row>
    <row r="629" spans="1:28">
      <c r="A629" s="31"/>
      <c r="B629" s="31"/>
      <c r="C629" s="42"/>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row>
    <row r="630" spans="1:28">
      <c r="A630" s="31"/>
      <c r="B630" s="31"/>
      <c r="C630" s="42"/>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row>
    <row r="631" spans="1:28">
      <c r="A631" s="31"/>
      <c r="B631" s="31"/>
      <c r="C631" s="42"/>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row>
    <row r="632" spans="1:28">
      <c r="A632" s="31"/>
      <c r="B632" s="31"/>
      <c r="C632" s="42"/>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row>
    <row r="633" spans="1:28">
      <c r="A633" s="31"/>
      <c r="B633" s="31"/>
      <c r="C633" s="42"/>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row>
    <row r="634" spans="1:28">
      <c r="A634" s="31"/>
      <c r="B634" s="31"/>
      <c r="C634" s="42"/>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row>
    <row r="635" spans="1:28">
      <c r="A635" s="31"/>
      <c r="B635" s="31"/>
      <c r="C635" s="42"/>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row>
    <row r="636" spans="1:28">
      <c r="A636" s="31"/>
      <c r="B636" s="31"/>
      <c r="C636" s="42"/>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row>
    <row r="637" spans="1:28">
      <c r="A637" s="31"/>
      <c r="B637" s="31"/>
      <c r="C637" s="42"/>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row>
    <row r="638" spans="1:28">
      <c r="A638" s="31"/>
      <c r="B638" s="31"/>
      <c r="C638" s="42"/>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row>
    <row r="639" spans="1:28">
      <c r="A639" s="31"/>
      <c r="B639" s="31"/>
      <c r="C639" s="42"/>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row>
    <row r="640" spans="1:28">
      <c r="A640" s="31"/>
      <c r="B640" s="31"/>
      <c r="C640" s="42"/>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row>
    <row r="641" spans="1:28">
      <c r="A641" s="31"/>
      <c r="B641" s="31"/>
      <c r="C641" s="42"/>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row>
    <row r="642" spans="1:28">
      <c r="A642" s="31"/>
      <c r="B642" s="31"/>
      <c r="C642" s="42"/>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row>
    <row r="643" spans="1:28">
      <c r="A643" s="31"/>
      <c r="B643" s="31"/>
      <c r="C643" s="42"/>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row>
    <row r="644" spans="1:28">
      <c r="A644" s="31"/>
      <c r="B644" s="31"/>
      <c r="C644" s="42"/>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row>
    <row r="645" spans="1:28">
      <c r="A645" s="31"/>
      <c r="B645" s="31"/>
      <c r="C645" s="42"/>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row>
    <row r="646" spans="1:28">
      <c r="A646" s="31"/>
      <c r="B646" s="31"/>
      <c r="C646" s="42"/>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row>
    <row r="647" spans="1:28">
      <c r="A647" s="31"/>
      <c r="B647" s="31"/>
      <c r="C647" s="42"/>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row>
    <row r="648" spans="1:28">
      <c r="A648" s="31"/>
      <c r="B648" s="31"/>
      <c r="C648" s="42"/>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row>
    <row r="649" spans="1:28">
      <c r="A649" s="31"/>
      <c r="B649" s="31"/>
      <c r="C649" s="42"/>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row>
    <row r="650" spans="1:28">
      <c r="A650" s="31"/>
      <c r="B650" s="31"/>
      <c r="C650" s="42"/>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row>
    <row r="651" spans="1:28">
      <c r="A651" s="31"/>
      <c r="B651" s="31"/>
      <c r="C651" s="42"/>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row>
    <row r="652" spans="1:28">
      <c r="A652" s="31"/>
      <c r="B652" s="31"/>
      <c r="C652" s="42"/>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row>
    <row r="653" spans="1:28">
      <c r="A653" s="31"/>
      <c r="B653" s="31"/>
      <c r="C653" s="42"/>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row>
    <row r="654" spans="1:28">
      <c r="A654" s="31"/>
      <c r="B654" s="31"/>
      <c r="C654" s="42"/>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row>
    <row r="655" spans="1:28">
      <c r="A655" s="31"/>
      <c r="B655" s="31"/>
      <c r="C655" s="42"/>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row>
    <row r="656" spans="1:28">
      <c r="A656" s="31"/>
      <c r="B656" s="31"/>
      <c r="C656" s="42"/>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row>
    <row r="657" spans="1:28">
      <c r="A657" s="31"/>
      <c r="B657" s="31"/>
      <c r="C657" s="42"/>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row>
    <row r="658" spans="1:28">
      <c r="A658" s="31"/>
      <c r="B658" s="31"/>
      <c r="C658" s="42"/>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row>
    <row r="659" spans="1:28">
      <c r="A659" s="31"/>
      <c r="B659" s="31"/>
      <c r="C659" s="42"/>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row>
    <row r="660" spans="1:28">
      <c r="A660" s="31"/>
      <c r="B660" s="31"/>
      <c r="C660" s="42"/>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row>
    <row r="661" spans="1:28">
      <c r="A661" s="31"/>
      <c r="B661" s="31"/>
      <c r="C661" s="42"/>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row>
    <row r="662" spans="1:28">
      <c r="A662" s="31"/>
      <c r="B662" s="31"/>
      <c r="C662" s="42"/>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row>
    <row r="663" spans="1:28">
      <c r="A663" s="31"/>
      <c r="B663" s="31"/>
      <c r="C663" s="42"/>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row>
    <row r="664" spans="1:28">
      <c r="A664" s="31"/>
      <c r="B664" s="31"/>
      <c r="C664" s="42"/>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row>
    <row r="665" spans="1:28">
      <c r="A665" s="31"/>
      <c r="B665" s="31"/>
      <c r="C665" s="42"/>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row>
    <row r="666" spans="1:28">
      <c r="A666" s="31"/>
      <c r="B666" s="31"/>
      <c r="C666" s="42"/>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row>
    <row r="667" spans="1:28">
      <c r="A667" s="31"/>
      <c r="B667" s="31"/>
      <c r="C667" s="42"/>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row>
    <row r="668" spans="1:28">
      <c r="A668" s="31"/>
      <c r="B668" s="31"/>
      <c r="C668" s="42"/>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row>
    <row r="669" spans="1:28">
      <c r="A669" s="31"/>
      <c r="B669" s="31"/>
      <c r="C669" s="42"/>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row>
    <row r="670" spans="1:28">
      <c r="A670" s="31"/>
      <c r="B670" s="31"/>
      <c r="C670" s="42"/>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row>
    <row r="671" spans="1:28">
      <c r="A671" s="31"/>
      <c r="B671" s="31"/>
      <c r="C671" s="42"/>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row>
    <row r="672" spans="1:28">
      <c r="A672" s="31"/>
      <c r="B672" s="31"/>
      <c r="C672" s="42"/>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row>
    <row r="673" spans="1:28">
      <c r="A673" s="31"/>
      <c r="B673" s="31"/>
      <c r="C673" s="42"/>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row>
    <row r="674" spans="1:28">
      <c r="A674" s="31"/>
      <c r="B674" s="31"/>
      <c r="C674" s="42"/>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row>
    <row r="675" spans="1:28">
      <c r="A675" s="31"/>
      <c r="B675" s="31"/>
      <c r="C675" s="42"/>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row>
    <row r="676" spans="1:28">
      <c r="A676" s="31"/>
      <c r="B676" s="31"/>
      <c r="C676" s="42"/>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row>
    <row r="677" spans="1:28">
      <c r="A677" s="31"/>
      <c r="B677" s="31"/>
      <c r="C677" s="42"/>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row>
    <row r="678" spans="1:28">
      <c r="A678" s="31"/>
      <c r="B678" s="31"/>
      <c r="C678" s="42"/>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row>
    <row r="679" spans="1:28">
      <c r="A679" s="31"/>
      <c r="B679" s="31"/>
      <c r="C679" s="42"/>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row>
    <row r="680" spans="1:28">
      <c r="A680" s="31"/>
      <c r="B680" s="31"/>
      <c r="C680" s="42"/>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row>
    <row r="681" spans="1:28">
      <c r="A681" s="31"/>
      <c r="B681" s="31"/>
      <c r="C681" s="42"/>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row>
    <row r="682" spans="1:28">
      <c r="A682" s="31"/>
      <c r="B682" s="31"/>
      <c r="C682" s="42"/>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row>
    <row r="683" spans="1:28">
      <c r="A683" s="31"/>
      <c r="B683" s="31"/>
      <c r="C683" s="42"/>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row>
    <row r="684" spans="1:28">
      <c r="A684" s="31"/>
      <c r="B684" s="31"/>
      <c r="C684" s="42"/>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row>
    <row r="685" spans="1:28">
      <c r="A685" s="31"/>
      <c r="B685" s="31"/>
      <c r="C685" s="42"/>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row>
    <row r="686" spans="1:28">
      <c r="A686" s="31"/>
      <c r="B686" s="31"/>
      <c r="C686" s="42"/>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row>
    <row r="687" spans="1:28">
      <c r="A687" s="31"/>
      <c r="B687" s="31"/>
      <c r="C687" s="42"/>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row>
    <row r="688" spans="1:28">
      <c r="A688" s="31"/>
      <c r="B688" s="31"/>
      <c r="C688" s="42"/>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row>
    <row r="689" spans="1:28">
      <c r="A689" s="31"/>
      <c r="B689" s="31"/>
      <c r="C689" s="42"/>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row>
    <row r="690" spans="1:28">
      <c r="A690" s="31"/>
      <c r="B690" s="31"/>
      <c r="C690" s="42"/>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row>
    <row r="691" spans="1:28">
      <c r="A691" s="31"/>
      <c r="B691" s="31"/>
      <c r="C691" s="42"/>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row>
    <row r="692" spans="1:28">
      <c r="A692" s="31"/>
      <c r="B692" s="31"/>
      <c r="C692" s="42"/>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row>
    <row r="693" spans="1:28">
      <c r="A693" s="31"/>
      <c r="B693" s="31"/>
      <c r="C693" s="42"/>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row>
    <row r="694" spans="1:28">
      <c r="A694" s="31"/>
      <c r="B694" s="31"/>
      <c r="C694" s="42"/>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row>
    <row r="695" spans="1:28">
      <c r="A695" s="31"/>
      <c r="B695" s="31"/>
      <c r="C695" s="42"/>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row>
    <row r="696" spans="1:28">
      <c r="A696" s="31"/>
      <c r="B696" s="31"/>
      <c r="C696" s="42"/>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row>
    <row r="697" spans="1:28">
      <c r="A697" s="31"/>
      <c r="B697" s="31"/>
      <c r="C697" s="42"/>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row>
    <row r="698" spans="1:28">
      <c r="A698" s="31"/>
      <c r="B698" s="31"/>
      <c r="C698" s="42"/>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row>
    <row r="699" spans="1:28">
      <c r="A699" s="31"/>
      <c r="B699" s="31"/>
      <c r="C699" s="42"/>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row>
    <row r="700" spans="1:28">
      <c r="A700" s="31"/>
      <c r="B700" s="31"/>
      <c r="C700" s="42"/>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row>
    <row r="701" spans="1:28">
      <c r="A701" s="31"/>
      <c r="B701" s="31"/>
      <c r="C701" s="42"/>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row>
    <row r="702" spans="1:28">
      <c r="A702" s="31"/>
      <c r="B702" s="31"/>
      <c r="C702" s="42"/>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row>
    <row r="703" spans="1:28">
      <c r="A703" s="31"/>
      <c r="B703" s="31"/>
      <c r="C703" s="42"/>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row>
    <row r="704" spans="1:28">
      <c r="A704" s="31"/>
      <c r="B704" s="31"/>
      <c r="C704" s="42"/>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row>
    <row r="705" spans="1:28">
      <c r="A705" s="31"/>
      <c r="B705" s="31"/>
      <c r="C705" s="42"/>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row>
    <row r="706" spans="1:28">
      <c r="A706" s="31"/>
      <c r="B706" s="31"/>
      <c r="C706" s="42"/>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row>
    <row r="707" spans="1:28">
      <c r="A707" s="31"/>
      <c r="B707" s="31"/>
      <c r="C707" s="42"/>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row>
    <row r="708" spans="1:28">
      <c r="A708" s="31"/>
      <c r="B708" s="31"/>
      <c r="C708" s="42"/>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row>
    <row r="709" spans="1:28">
      <c r="A709" s="31"/>
      <c r="B709" s="31"/>
      <c r="C709" s="42"/>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row>
    <row r="710" spans="1:28">
      <c r="A710" s="31"/>
      <c r="B710" s="31"/>
      <c r="C710" s="42"/>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row>
    <row r="711" spans="1:28">
      <c r="A711" s="31"/>
      <c r="B711" s="31"/>
      <c r="C711" s="42"/>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row>
    <row r="712" spans="1:28">
      <c r="A712" s="31"/>
      <c r="B712" s="31"/>
      <c r="C712" s="42"/>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row>
    <row r="713" spans="1:28">
      <c r="A713" s="31"/>
      <c r="B713" s="31"/>
      <c r="C713" s="42"/>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row>
    <row r="714" spans="1:28">
      <c r="A714" s="31"/>
      <c r="B714" s="31"/>
      <c r="C714" s="42"/>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row>
    <row r="715" spans="1:28">
      <c r="A715" s="31"/>
      <c r="B715" s="31"/>
      <c r="C715" s="42"/>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row>
    <row r="716" spans="1:28">
      <c r="A716" s="31"/>
      <c r="B716" s="31"/>
      <c r="C716" s="42"/>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row>
    <row r="717" spans="1:28">
      <c r="A717" s="31"/>
      <c r="B717" s="31"/>
      <c r="C717" s="42"/>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row>
    <row r="718" spans="1:28">
      <c r="A718" s="31"/>
      <c r="B718" s="31"/>
      <c r="C718" s="42"/>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row>
    <row r="719" spans="1:28">
      <c r="A719" s="31"/>
      <c r="B719" s="31"/>
      <c r="C719" s="42"/>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row>
    <row r="720" spans="1:28">
      <c r="A720" s="31"/>
      <c r="B720" s="31"/>
      <c r="C720" s="42"/>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row>
    <row r="721" spans="1:28">
      <c r="A721" s="31"/>
      <c r="B721" s="31"/>
      <c r="C721" s="42"/>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row>
    <row r="722" spans="1:28">
      <c r="A722" s="31"/>
      <c r="B722" s="31"/>
      <c r="C722" s="42"/>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row>
    <row r="723" spans="1:28">
      <c r="A723" s="31"/>
      <c r="B723" s="31"/>
      <c r="C723" s="42"/>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row>
    <row r="724" spans="1:28">
      <c r="A724" s="31"/>
      <c r="B724" s="31"/>
      <c r="C724" s="42"/>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row>
    <row r="725" spans="1:28">
      <c r="A725" s="31"/>
      <c r="B725" s="31"/>
      <c r="C725" s="42"/>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row>
    <row r="726" spans="1:28">
      <c r="A726" s="31"/>
      <c r="B726" s="31"/>
      <c r="C726" s="42"/>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row>
    <row r="727" spans="1:28">
      <c r="A727" s="31"/>
      <c r="B727" s="31"/>
      <c r="C727" s="42"/>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row>
    <row r="728" spans="1:28">
      <c r="A728" s="31"/>
      <c r="B728" s="31"/>
      <c r="C728" s="42"/>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row>
    <row r="729" spans="1:28">
      <c r="A729" s="31"/>
      <c r="B729" s="31"/>
      <c r="C729" s="42"/>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row>
    <row r="730" spans="1:28">
      <c r="A730" s="31"/>
      <c r="B730" s="31"/>
      <c r="C730" s="42"/>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row>
    <row r="731" spans="1:28">
      <c r="A731" s="31"/>
      <c r="B731" s="31"/>
      <c r="C731" s="42"/>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row>
    <row r="732" spans="1:28">
      <c r="A732" s="31"/>
      <c r="B732" s="31"/>
      <c r="C732" s="42"/>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row>
    <row r="733" spans="1:28">
      <c r="A733" s="31"/>
      <c r="B733" s="31"/>
      <c r="C733" s="42"/>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row>
    <row r="734" spans="1:28">
      <c r="A734" s="31"/>
      <c r="B734" s="31"/>
      <c r="C734" s="42"/>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row>
    <row r="735" spans="1:28">
      <c r="A735" s="31"/>
      <c r="B735" s="31"/>
      <c r="C735" s="42"/>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row>
    <row r="736" spans="1:28">
      <c r="A736" s="31"/>
      <c r="B736" s="31"/>
      <c r="C736" s="42"/>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row>
    <row r="737" spans="1:28">
      <c r="A737" s="31"/>
      <c r="B737" s="31"/>
      <c r="C737" s="42"/>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row>
    <row r="738" spans="1:28">
      <c r="A738" s="31"/>
      <c r="B738" s="31"/>
      <c r="C738" s="42"/>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row>
    <row r="739" spans="1:28">
      <c r="A739" s="31"/>
      <c r="B739" s="31"/>
      <c r="C739" s="42"/>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row>
    <row r="740" spans="1:28">
      <c r="A740" s="31"/>
      <c r="B740" s="31"/>
      <c r="C740" s="42"/>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row>
    <row r="741" spans="1:28">
      <c r="A741" s="31"/>
      <c r="B741" s="31"/>
      <c r="C741" s="42"/>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row>
    <row r="742" spans="1:28">
      <c r="A742" s="31"/>
      <c r="B742" s="31"/>
      <c r="C742" s="42"/>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row>
    <row r="743" spans="1:28">
      <c r="A743" s="31"/>
      <c r="B743" s="31"/>
      <c r="C743" s="42"/>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row>
    <row r="744" spans="1:28">
      <c r="A744" s="31"/>
      <c r="B744" s="31"/>
      <c r="C744" s="42"/>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row>
    <row r="745" spans="1:28">
      <c r="A745" s="31"/>
      <c r="B745" s="31"/>
      <c r="C745" s="42"/>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row>
    <row r="746" spans="1:28">
      <c r="A746" s="31"/>
      <c r="B746" s="31"/>
      <c r="C746" s="42"/>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row>
    <row r="747" spans="1:28">
      <c r="A747" s="31"/>
      <c r="B747" s="31"/>
      <c r="C747" s="42"/>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row>
    <row r="748" spans="1:28">
      <c r="A748" s="31"/>
      <c r="B748" s="31"/>
      <c r="C748" s="42"/>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row>
    <row r="749" spans="1:28">
      <c r="A749" s="31"/>
      <c r="B749" s="31"/>
      <c r="C749" s="42"/>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row>
    <row r="750" spans="1:28">
      <c r="A750" s="31"/>
      <c r="B750" s="31"/>
      <c r="C750" s="42"/>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row>
    <row r="751" spans="1:28">
      <c r="A751" s="31"/>
      <c r="B751" s="31"/>
      <c r="C751" s="42"/>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row>
    <row r="752" spans="1:28">
      <c r="A752" s="31"/>
      <c r="B752" s="31"/>
      <c r="C752" s="42"/>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row>
    <row r="753" spans="1:28">
      <c r="A753" s="31"/>
      <c r="B753" s="31"/>
      <c r="C753" s="42"/>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row>
    <row r="754" spans="1:28">
      <c r="A754" s="31"/>
      <c r="B754" s="31"/>
      <c r="C754" s="42"/>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row>
    <row r="755" spans="1:28">
      <c r="A755" s="31"/>
      <c r="B755" s="31"/>
      <c r="C755" s="42"/>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row>
    <row r="756" spans="1:28">
      <c r="A756" s="31"/>
      <c r="B756" s="31"/>
      <c r="C756" s="42"/>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row>
    <row r="757" spans="1:28">
      <c r="A757" s="31"/>
      <c r="B757" s="31"/>
      <c r="C757" s="42"/>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row>
    <row r="758" spans="1:28">
      <c r="A758" s="31"/>
      <c r="B758" s="31"/>
      <c r="C758" s="42"/>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row>
    <row r="759" spans="1:28">
      <c r="A759" s="31"/>
      <c r="B759" s="31"/>
      <c r="C759" s="42"/>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row>
    <row r="760" spans="1:28">
      <c r="A760" s="31"/>
      <c r="B760" s="31"/>
      <c r="C760" s="42"/>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row>
    <row r="761" spans="1:28">
      <c r="A761" s="31"/>
      <c r="B761" s="31"/>
      <c r="C761" s="42"/>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row>
    <row r="762" spans="1:28">
      <c r="A762" s="31"/>
      <c r="B762" s="31"/>
      <c r="C762" s="42"/>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row>
    <row r="763" spans="1:28">
      <c r="A763" s="31"/>
      <c r="B763" s="31"/>
      <c r="C763" s="42"/>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row>
    <row r="764" spans="1:28">
      <c r="A764" s="31"/>
      <c r="B764" s="31"/>
      <c r="C764" s="42"/>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row>
    <row r="765" spans="1:28">
      <c r="A765" s="31"/>
      <c r="B765" s="31"/>
      <c r="C765" s="42"/>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row>
    <row r="766" spans="1:28">
      <c r="A766" s="31"/>
      <c r="B766" s="31"/>
      <c r="C766" s="42"/>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row>
    <row r="767" spans="1:28">
      <c r="A767" s="31"/>
      <c r="B767" s="31"/>
      <c r="C767" s="42"/>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row>
    <row r="768" spans="1:28">
      <c r="A768" s="31"/>
      <c r="B768" s="31"/>
      <c r="C768" s="42"/>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row>
    <row r="769" spans="1:28">
      <c r="A769" s="31"/>
      <c r="B769" s="31"/>
      <c r="C769" s="42"/>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row>
    <row r="770" spans="1:28">
      <c r="A770" s="31"/>
      <c r="B770" s="31"/>
      <c r="C770" s="42"/>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row>
    <row r="771" spans="1:28">
      <c r="A771" s="31"/>
      <c r="B771" s="31"/>
      <c r="C771" s="42"/>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row>
    <row r="772" spans="1:28">
      <c r="A772" s="31"/>
      <c r="B772" s="31"/>
      <c r="C772" s="42"/>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row>
    <row r="773" spans="1:28">
      <c r="A773" s="31"/>
      <c r="B773" s="31"/>
      <c r="C773" s="42"/>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row>
    <row r="774" spans="1:28">
      <c r="A774" s="31"/>
      <c r="B774" s="31"/>
      <c r="C774" s="42"/>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row>
    <row r="775" spans="1:28">
      <c r="A775" s="31"/>
      <c r="B775" s="31"/>
      <c r="C775" s="42"/>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row>
    <row r="776" spans="1:28">
      <c r="A776" s="31"/>
      <c r="B776" s="31"/>
      <c r="C776" s="42"/>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row>
    <row r="777" spans="1:28">
      <c r="A777" s="31"/>
      <c r="B777" s="31"/>
      <c r="C777" s="42"/>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row>
    <row r="778" spans="1:28">
      <c r="A778" s="31"/>
      <c r="B778" s="31"/>
      <c r="C778" s="42"/>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row>
    <row r="779" spans="1:28">
      <c r="A779" s="31"/>
      <c r="B779" s="31"/>
      <c r="C779" s="42"/>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row>
    <row r="780" spans="1:28">
      <c r="A780" s="31"/>
      <c r="B780" s="31"/>
      <c r="C780" s="42"/>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row>
    <row r="781" spans="1:28">
      <c r="A781" s="31"/>
      <c r="B781" s="31"/>
      <c r="C781" s="42"/>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row>
    <row r="782" spans="1:28">
      <c r="A782" s="31"/>
      <c r="B782" s="31"/>
      <c r="C782" s="42"/>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row>
    <row r="783" spans="1:28">
      <c r="A783" s="31"/>
      <c r="B783" s="31"/>
      <c r="C783" s="42"/>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row>
    <row r="784" spans="1:28">
      <c r="A784" s="31"/>
      <c r="B784" s="31"/>
      <c r="C784" s="42"/>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row>
    <row r="785" spans="1:28">
      <c r="A785" s="31"/>
      <c r="B785" s="31"/>
      <c r="C785" s="42"/>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row>
    <row r="786" spans="1:28">
      <c r="A786" s="31"/>
      <c r="B786" s="31"/>
      <c r="C786" s="42"/>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row>
    <row r="787" spans="1:28">
      <c r="A787" s="31"/>
      <c r="B787" s="31"/>
      <c r="C787" s="42"/>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row>
    <row r="788" spans="1:28">
      <c r="A788" s="31"/>
      <c r="B788" s="31"/>
      <c r="C788" s="42"/>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row>
    <row r="789" spans="1:28">
      <c r="A789" s="31"/>
      <c r="B789" s="31"/>
      <c r="C789" s="42"/>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row>
    <row r="790" spans="1:28">
      <c r="A790" s="31"/>
      <c r="B790" s="31"/>
      <c r="C790" s="42"/>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row>
    <row r="791" spans="1:28">
      <c r="A791" s="31"/>
      <c r="B791" s="31"/>
      <c r="C791" s="42"/>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row>
    <row r="792" spans="1:28">
      <c r="A792" s="31"/>
      <c r="B792" s="31"/>
      <c r="C792" s="42"/>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row>
    <row r="793" spans="1:28">
      <c r="A793" s="31"/>
      <c r="B793" s="31"/>
      <c r="C793" s="42"/>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row>
    <row r="794" spans="1:28">
      <c r="A794" s="31"/>
      <c r="B794" s="31"/>
      <c r="C794" s="42"/>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row>
    <row r="795" spans="1:28">
      <c r="A795" s="31"/>
      <c r="B795" s="31"/>
      <c r="C795" s="42"/>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row>
    <row r="796" spans="1:28">
      <c r="A796" s="31"/>
      <c r="B796" s="31"/>
      <c r="C796" s="42"/>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row>
    <row r="797" spans="1:28">
      <c r="A797" s="31"/>
      <c r="B797" s="31"/>
      <c r="C797" s="42"/>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row>
    <row r="798" spans="1:28">
      <c r="A798" s="31"/>
      <c r="B798" s="31"/>
      <c r="C798" s="42"/>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row>
    <row r="799" spans="1:28">
      <c r="A799" s="31"/>
      <c r="B799" s="31"/>
      <c r="C799" s="42"/>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row>
    <row r="800" spans="1:28">
      <c r="A800" s="31"/>
      <c r="B800" s="31"/>
      <c r="C800" s="42"/>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row>
    <row r="801" spans="1:28">
      <c r="A801" s="31"/>
      <c r="B801" s="31"/>
      <c r="C801" s="42"/>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row>
    <row r="802" spans="1:28">
      <c r="A802" s="31"/>
      <c r="B802" s="31"/>
      <c r="C802" s="42"/>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row>
    <row r="803" spans="1:28">
      <c r="A803" s="31"/>
      <c r="B803" s="31"/>
      <c r="C803" s="42"/>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row>
    <row r="804" spans="1:28">
      <c r="A804" s="31"/>
      <c r="B804" s="31"/>
      <c r="C804" s="42"/>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row>
    <row r="805" spans="1:28">
      <c r="A805" s="31"/>
      <c r="B805" s="31"/>
      <c r="C805" s="42"/>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row>
    <row r="806" spans="1:28">
      <c r="A806" s="31"/>
      <c r="B806" s="31"/>
      <c r="C806" s="42"/>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row>
    <row r="807" spans="1:28">
      <c r="A807" s="31"/>
      <c r="B807" s="31"/>
      <c r="C807" s="42"/>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row>
    <row r="808" spans="1:28">
      <c r="A808" s="31"/>
      <c r="B808" s="31"/>
      <c r="C808" s="42"/>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row>
    <row r="809" spans="1:28">
      <c r="A809" s="31"/>
      <c r="B809" s="31"/>
      <c r="C809" s="42"/>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row>
    <row r="810" spans="1:28">
      <c r="A810" s="31"/>
      <c r="B810" s="31"/>
      <c r="C810" s="42"/>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row>
    <row r="811" spans="1:28">
      <c r="A811" s="31"/>
      <c r="B811" s="31"/>
      <c r="C811" s="42"/>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row>
    <row r="812" spans="1:28">
      <c r="A812" s="31"/>
      <c r="B812" s="31"/>
      <c r="C812" s="42"/>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row>
    <row r="813" spans="1:28">
      <c r="A813" s="31"/>
      <c r="B813" s="31"/>
      <c r="C813" s="42"/>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row>
    <row r="814" spans="1:28">
      <c r="A814" s="31"/>
      <c r="B814" s="31"/>
      <c r="C814" s="42"/>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row>
    <row r="815" spans="1:28">
      <c r="A815" s="31"/>
      <c r="B815" s="31"/>
      <c r="C815" s="42"/>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row>
    <row r="816" spans="1:28">
      <c r="A816" s="31"/>
      <c r="B816" s="31"/>
      <c r="C816" s="42"/>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row>
    <row r="817" spans="1:28">
      <c r="A817" s="31"/>
      <c r="B817" s="31"/>
      <c r="C817" s="42"/>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row>
    <row r="818" spans="1:28">
      <c r="A818" s="31"/>
      <c r="B818" s="31"/>
      <c r="C818" s="42"/>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row>
    <row r="819" spans="1:28">
      <c r="A819" s="31"/>
      <c r="B819" s="31"/>
      <c r="C819" s="42"/>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row>
    <row r="820" spans="1:28">
      <c r="A820" s="31"/>
      <c r="B820" s="31"/>
      <c r="C820" s="42"/>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row>
    <row r="821" spans="1:28">
      <c r="A821" s="31"/>
      <c r="B821" s="31"/>
      <c r="C821" s="42"/>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row>
    <row r="822" spans="1:28">
      <c r="A822" s="31"/>
      <c r="B822" s="31"/>
      <c r="C822" s="42"/>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row>
    <row r="823" spans="1:28">
      <c r="A823" s="31"/>
      <c r="B823" s="31"/>
      <c r="C823" s="42"/>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row>
    <row r="824" spans="1:28">
      <c r="A824" s="31"/>
      <c r="B824" s="31"/>
      <c r="C824" s="42"/>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row>
    <row r="825" spans="1:28">
      <c r="A825" s="31"/>
      <c r="B825" s="31"/>
      <c r="C825" s="42"/>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row>
    <row r="826" spans="1:28">
      <c r="A826" s="31"/>
      <c r="B826" s="31"/>
      <c r="C826" s="42"/>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row>
    <row r="827" spans="1:28">
      <c r="A827" s="31"/>
      <c r="B827" s="31"/>
      <c r="C827" s="42"/>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row>
    <row r="828" spans="1:28">
      <c r="A828" s="31"/>
      <c r="B828" s="31"/>
      <c r="C828" s="42"/>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row>
    <row r="829" spans="1:28">
      <c r="A829" s="31"/>
      <c r="B829" s="31"/>
      <c r="C829" s="42"/>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row>
    <row r="830" spans="1:28">
      <c r="A830" s="31"/>
      <c r="B830" s="31"/>
      <c r="C830" s="42"/>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row>
    <row r="831" spans="1:28">
      <c r="A831" s="31"/>
      <c r="B831" s="31"/>
      <c r="C831" s="42"/>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row>
    <row r="832" spans="1:28">
      <c r="A832" s="31"/>
      <c r="B832" s="31"/>
      <c r="C832" s="42"/>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row>
    <row r="833" spans="1:28">
      <c r="A833" s="31"/>
      <c r="B833" s="31"/>
      <c r="C833" s="42"/>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row>
    <row r="834" spans="1:28">
      <c r="A834" s="31"/>
      <c r="B834" s="31"/>
      <c r="C834" s="42"/>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row>
    <row r="835" spans="1:28">
      <c r="A835" s="31"/>
      <c r="B835" s="31"/>
      <c r="C835" s="42"/>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row>
    <row r="836" spans="1:28">
      <c r="A836" s="31"/>
      <c r="B836" s="31"/>
      <c r="C836" s="42"/>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row>
    <row r="837" spans="1:28">
      <c r="A837" s="31"/>
      <c r="B837" s="31"/>
      <c r="C837" s="42"/>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row>
    <row r="838" spans="1:28">
      <c r="A838" s="31"/>
      <c r="B838" s="31"/>
      <c r="C838" s="42"/>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row>
    <row r="839" spans="1:28">
      <c r="A839" s="31"/>
      <c r="B839" s="31"/>
      <c r="C839" s="42"/>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row>
    <row r="840" spans="1:28">
      <c r="A840" s="31"/>
      <c r="B840" s="31"/>
      <c r="C840" s="42"/>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row>
    <row r="841" spans="1:28">
      <c r="A841" s="31"/>
      <c r="B841" s="31"/>
      <c r="C841" s="42"/>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row>
    <row r="842" spans="1:28">
      <c r="A842" s="31"/>
      <c r="B842" s="31"/>
      <c r="C842" s="42"/>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row>
    <row r="843" spans="1:28">
      <c r="A843" s="31"/>
      <c r="B843" s="31"/>
      <c r="C843" s="42"/>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row>
    <row r="844" spans="1:28">
      <c r="A844" s="31"/>
      <c r="B844" s="31"/>
      <c r="C844" s="42"/>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row>
    <row r="845" spans="1:28">
      <c r="A845" s="31"/>
      <c r="B845" s="31"/>
      <c r="C845" s="42"/>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row>
    <row r="846" spans="1:28">
      <c r="A846" s="31"/>
      <c r="B846" s="31"/>
      <c r="C846" s="42"/>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row>
    <row r="847" spans="1:28">
      <c r="A847" s="31"/>
      <c r="B847" s="31"/>
      <c r="C847" s="42"/>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row>
    <row r="848" spans="1:28">
      <c r="A848" s="31"/>
      <c r="B848" s="31"/>
      <c r="C848" s="42"/>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row>
    <row r="849" spans="1:28">
      <c r="A849" s="31"/>
      <c r="B849" s="31"/>
      <c r="C849" s="42"/>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row>
    <row r="850" spans="1:28">
      <c r="A850" s="31"/>
      <c r="B850" s="31"/>
      <c r="C850" s="42"/>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row>
    <row r="851" spans="1:28">
      <c r="A851" s="31"/>
      <c r="B851" s="31"/>
      <c r="C851" s="42"/>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row>
    <row r="852" spans="1:28">
      <c r="A852" s="31"/>
      <c r="B852" s="31"/>
      <c r="C852" s="42"/>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row>
    <row r="853" spans="1:28">
      <c r="A853" s="31"/>
      <c r="B853" s="31"/>
      <c r="C853" s="42"/>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row>
    <row r="854" spans="1:28">
      <c r="A854" s="31"/>
      <c r="B854" s="31"/>
      <c r="C854" s="42"/>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row>
    <row r="855" spans="1:28">
      <c r="A855" s="31"/>
      <c r="B855" s="31"/>
      <c r="C855" s="42"/>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row>
    <row r="856" spans="1:28">
      <c r="A856" s="31"/>
      <c r="B856" s="31"/>
      <c r="C856" s="42"/>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row>
    <row r="857" spans="1:28">
      <c r="A857" s="31"/>
      <c r="B857" s="31"/>
      <c r="C857" s="42"/>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row>
    <row r="858" spans="1:28">
      <c r="A858" s="31"/>
      <c r="B858" s="31"/>
      <c r="C858" s="42"/>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row>
    <row r="859" spans="1:28">
      <c r="A859" s="31"/>
      <c r="B859" s="31"/>
      <c r="C859" s="42"/>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row>
    <row r="860" spans="1:28">
      <c r="A860" s="31"/>
      <c r="B860" s="31"/>
      <c r="C860" s="42"/>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row>
    <row r="861" spans="1:28">
      <c r="A861" s="31"/>
      <c r="B861" s="31"/>
      <c r="C861" s="42"/>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row>
    <row r="862" spans="1:28">
      <c r="A862" s="31"/>
      <c r="B862" s="31"/>
      <c r="C862" s="42"/>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row>
    <row r="863" spans="1:28">
      <c r="A863" s="31"/>
      <c r="B863" s="31"/>
      <c r="C863" s="42"/>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row>
    <row r="864" spans="1:28">
      <c r="A864" s="31"/>
      <c r="B864" s="31"/>
      <c r="C864" s="42"/>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row>
    <row r="865" spans="1:28">
      <c r="A865" s="31"/>
      <c r="B865" s="31"/>
      <c r="C865" s="42"/>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row>
    <row r="866" spans="1:28">
      <c r="A866" s="31"/>
      <c r="B866" s="31"/>
      <c r="C866" s="42"/>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row>
    <row r="867" spans="1:28">
      <c r="A867" s="31"/>
      <c r="B867" s="31"/>
      <c r="C867" s="42"/>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row>
    <row r="868" spans="1:28">
      <c r="A868" s="31"/>
      <c r="B868" s="31"/>
      <c r="C868" s="42"/>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row>
    <row r="869" spans="1:28">
      <c r="A869" s="31"/>
      <c r="B869" s="31"/>
      <c r="C869" s="42"/>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row>
    <row r="870" spans="1:28">
      <c r="A870" s="31"/>
      <c r="B870" s="31"/>
      <c r="C870" s="42"/>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row>
    <row r="871" spans="1:28">
      <c r="A871" s="31"/>
      <c r="B871" s="31"/>
      <c r="C871" s="42"/>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row>
    <row r="872" spans="1:28">
      <c r="A872" s="31"/>
      <c r="B872" s="31"/>
      <c r="C872" s="42"/>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row>
    <row r="873" spans="1:28">
      <c r="A873" s="31"/>
      <c r="B873" s="31"/>
      <c r="C873" s="42"/>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row>
    <row r="874" spans="1:28">
      <c r="A874" s="31"/>
      <c r="B874" s="31"/>
      <c r="C874" s="42"/>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row>
    <row r="875" spans="1:28">
      <c r="A875" s="31"/>
      <c r="B875" s="31"/>
      <c r="C875" s="42"/>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row>
    <row r="876" spans="1:28">
      <c r="A876" s="31"/>
      <c r="B876" s="31"/>
      <c r="C876" s="42"/>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row>
    <row r="877" spans="1:28">
      <c r="A877" s="31"/>
      <c r="B877" s="31"/>
      <c r="C877" s="42"/>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row>
    <row r="878" spans="1:28">
      <c r="A878" s="31"/>
      <c r="B878" s="31"/>
      <c r="C878" s="42"/>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row>
    <row r="879" spans="1:28">
      <c r="A879" s="31"/>
      <c r="B879" s="31"/>
      <c r="C879" s="42"/>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row>
    <row r="880" spans="1:28">
      <c r="A880" s="31"/>
      <c r="B880" s="31"/>
      <c r="C880" s="42"/>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row>
    <row r="881" spans="1:28">
      <c r="A881" s="31"/>
      <c r="B881" s="31"/>
      <c r="C881" s="42"/>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row>
    <row r="882" spans="1:28">
      <c r="A882" s="31"/>
      <c r="B882" s="31"/>
      <c r="C882" s="42"/>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row>
    <row r="883" spans="1:28">
      <c r="A883" s="31"/>
      <c r="B883" s="31"/>
      <c r="C883" s="42"/>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row>
    <row r="884" spans="1:28">
      <c r="A884" s="31"/>
      <c r="B884" s="31"/>
      <c r="C884" s="42"/>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row>
    <row r="885" spans="1:28">
      <c r="A885" s="31"/>
      <c r="B885" s="31"/>
      <c r="C885" s="42"/>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row>
    <row r="886" spans="1:28">
      <c r="A886" s="31"/>
      <c r="B886" s="31"/>
      <c r="C886" s="42"/>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row>
    <row r="887" spans="1:28">
      <c r="A887" s="31"/>
      <c r="B887" s="31"/>
      <c r="C887" s="42"/>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row>
    <row r="888" spans="1:28">
      <c r="A888" s="31"/>
      <c r="B888" s="31"/>
      <c r="C888" s="42"/>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row>
    <row r="889" spans="1:28">
      <c r="A889" s="31"/>
      <c r="B889" s="31"/>
      <c r="C889" s="42"/>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row>
    <row r="890" spans="1:28">
      <c r="A890" s="31"/>
      <c r="B890" s="31"/>
      <c r="C890" s="42"/>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row>
    <row r="891" spans="1:28">
      <c r="A891" s="31"/>
      <c r="B891" s="31"/>
      <c r="C891" s="42"/>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row>
    <row r="892" spans="1:28">
      <c r="A892" s="31"/>
      <c r="B892" s="31"/>
      <c r="C892" s="42"/>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row>
    <row r="893" spans="1:28">
      <c r="A893" s="31"/>
      <c r="B893" s="31"/>
      <c r="C893" s="42"/>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row>
    <row r="894" spans="1:28">
      <c r="A894" s="31"/>
      <c r="B894" s="31"/>
      <c r="C894" s="42"/>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row>
    <row r="895" spans="1:28">
      <c r="A895" s="31"/>
      <c r="B895" s="31"/>
      <c r="C895" s="42"/>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row>
    <row r="896" spans="1:28">
      <c r="A896" s="31"/>
      <c r="B896" s="31"/>
      <c r="C896" s="42"/>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row>
    <row r="897" spans="1:28">
      <c r="A897" s="31"/>
      <c r="B897" s="31"/>
      <c r="C897" s="42"/>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row>
    <row r="898" spans="1:28">
      <c r="A898" s="31"/>
      <c r="B898" s="31"/>
      <c r="C898" s="42"/>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row>
    <row r="899" spans="1:28">
      <c r="A899" s="31"/>
      <c r="B899" s="31"/>
      <c r="C899" s="42"/>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row>
    <row r="900" spans="1:28">
      <c r="A900" s="31"/>
      <c r="B900" s="31"/>
      <c r="C900" s="42"/>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row>
    <row r="901" spans="1:28">
      <c r="A901" s="31"/>
      <c r="B901" s="31"/>
      <c r="C901" s="42"/>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row>
    <row r="902" spans="1:28">
      <c r="A902" s="31"/>
      <c r="B902" s="31"/>
      <c r="C902" s="42"/>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row>
    <row r="903" spans="1:28">
      <c r="A903" s="31"/>
      <c r="B903" s="31"/>
      <c r="C903" s="42"/>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row>
    <row r="904" spans="1:28">
      <c r="A904" s="31"/>
      <c r="B904" s="31"/>
      <c r="C904" s="42"/>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row>
    <row r="905" spans="1:28">
      <c r="A905" s="31"/>
      <c r="B905" s="31"/>
      <c r="C905" s="42"/>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row>
    <row r="906" spans="1:28">
      <c r="A906" s="31"/>
      <c r="B906" s="31"/>
      <c r="C906" s="42"/>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row>
    <row r="907" spans="1:28">
      <c r="A907" s="31"/>
      <c r="B907" s="31"/>
      <c r="C907" s="42"/>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row>
    <row r="908" spans="1:28">
      <c r="A908" s="31"/>
      <c r="B908" s="31"/>
      <c r="C908" s="42"/>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row>
    <row r="909" spans="1:28">
      <c r="A909" s="31"/>
      <c r="B909" s="31"/>
      <c r="C909" s="42"/>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row>
    <row r="910" spans="1:28">
      <c r="A910" s="31"/>
      <c r="B910" s="31"/>
      <c r="C910" s="42"/>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row>
    <row r="911" spans="1:28">
      <c r="A911" s="31"/>
      <c r="B911" s="31"/>
      <c r="C911" s="42"/>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row>
    <row r="912" spans="1:28">
      <c r="A912" s="31"/>
      <c r="B912" s="31"/>
      <c r="C912" s="42"/>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row>
    <row r="913" spans="1:28">
      <c r="A913" s="31"/>
      <c r="B913" s="31"/>
      <c r="C913" s="42"/>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row>
    <row r="914" spans="1:28">
      <c r="A914" s="31"/>
      <c r="B914" s="31"/>
      <c r="C914" s="42"/>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row>
    <row r="915" spans="1:28">
      <c r="A915" s="31"/>
      <c r="B915" s="31"/>
      <c r="C915" s="42"/>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row>
    <row r="916" spans="1:28">
      <c r="A916" s="31"/>
      <c r="B916" s="31"/>
      <c r="C916" s="42"/>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row>
    <row r="917" spans="1:28">
      <c r="A917" s="31"/>
      <c r="B917" s="31"/>
      <c r="C917" s="42"/>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row>
    <row r="918" spans="1:28">
      <c r="A918" s="31"/>
      <c r="B918" s="31"/>
      <c r="C918" s="42"/>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row>
    <row r="919" spans="1:28">
      <c r="A919" s="31"/>
      <c r="B919" s="31"/>
      <c r="C919" s="42"/>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row>
    <row r="920" spans="1:28">
      <c r="A920" s="31"/>
      <c r="B920" s="31"/>
      <c r="C920" s="42"/>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row>
    <row r="921" spans="1:28">
      <c r="A921" s="31"/>
      <c r="B921" s="31"/>
      <c r="C921" s="42"/>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row>
    <row r="922" spans="1:28">
      <c r="A922" s="31"/>
      <c r="B922" s="31"/>
      <c r="C922" s="42"/>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row>
    <row r="923" spans="1:28">
      <c r="A923" s="31"/>
      <c r="B923" s="31"/>
      <c r="C923" s="42"/>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row>
    <row r="924" spans="1:28">
      <c r="A924" s="31"/>
      <c r="B924" s="31"/>
      <c r="C924" s="42"/>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row>
    <row r="925" spans="1:28">
      <c r="A925" s="31"/>
      <c r="B925" s="31"/>
      <c r="C925" s="42"/>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row>
    <row r="926" spans="1:28">
      <c r="A926" s="31"/>
      <c r="B926" s="31"/>
      <c r="C926" s="42"/>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row>
    <row r="927" spans="1:28">
      <c r="A927" s="31"/>
      <c r="B927" s="31"/>
      <c r="C927" s="42"/>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row>
    <row r="928" spans="1:28">
      <c r="A928" s="31"/>
      <c r="B928" s="31"/>
      <c r="C928" s="42"/>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row>
    <row r="929" spans="1:28">
      <c r="A929" s="31"/>
      <c r="B929" s="31"/>
      <c r="C929" s="42"/>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row>
    <row r="930" spans="1:28">
      <c r="A930" s="31"/>
      <c r="B930" s="31"/>
      <c r="C930" s="42"/>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row>
    <row r="931" spans="1:28">
      <c r="A931" s="31"/>
      <c r="B931" s="31"/>
      <c r="C931" s="42"/>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row>
    <row r="932" spans="1:28">
      <c r="A932" s="31"/>
      <c r="B932" s="31"/>
      <c r="C932" s="42"/>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row>
    <row r="933" spans="1:28">
      <c r="A933" s="31"/>
      <c r="B933" s="31"/>
      <c r="C933" s="42"/>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row>
    <row r="934" spans="1:28">
      <c r="A934" s="31"/>
      <c r="B934" s="31"/>
      <c r="C934" s="42"/>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row>
    <row r="935" spans="1:28">
      <c r="A935" s="31"/>
      <c r="B935" s="31"/>
      <c r="C935" s="42"/>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row>
    <row r="936" spans="1:28">
      <c r="A936" s="31"/>
      <c r="B936" s="31"/>
      <c r="C936" s="42"/>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row>
    <row r="937" spans="1:28">
      <c r="A937" s="31"/>
      <c r="B937" s="31"/>
      <c r="C937" s="42"/>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row>
    <row r="938" spans="1:28">
      <c r="A938" s="31"/>
      <c r="B938" s="31"/>
      <c r="C938" s="42"/>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row>
    <row r="939" spans="1:28">
      <c r="A939" s="31"/>
      <c r="B939" s="31"/>
      <c r="C939" s="42"/>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row>
    <row r="940" spans="1:28">
      <c r="A940" s="31"/>
      <c r="B940" s="31"/>
      <c r="C940" s="42"/>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row>
    <row r="941" spans="1:28">
      <c r="A941" s="31"/>
      <c r="B941" s="31"/>
      <c r="C941" s="42"/>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row>
    <row r="942" spans="1:28">
      <c r="A942" s="31"/>
      <c r="B942" s="31"/>
      <c r="C942" s="42"/>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row>
    <row r="943" spans="1:28">
      <c r="A943" s="31"/>
      <c r="B943" s="31"/>
      <c r="C943" s="42"/>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row>
    <row r="944" spans="1:28">
      <c r="A944" s="31"/>
      <c r="B944" s="31"/>
      <c r="C944" s="42"/>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row>
    <row r="945" spans="1:28">
      <c r="A945" s="31"/>
      <c r="B945" s="31"/>
      <c r="C945" s="42"/>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row>
    <row r="946" spans="1:28">
      <c r="A946" s="31"/>
      <c r="B946" s="31"/>
      <c r="C946" s="42"/>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row>
    <row r="947" spans="1:28">
      <c r="A947" s="31"/>
      <c r="B947" s="31"/>
      <c r="C947" s="42"/>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row>
    <row r="948" spans="1:28">
      <c r="A948" s="31"/>
      <c r="B948" s="31"/>
      <c r="C948" s="42"/>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row>
    <row r="949" spans="1:28">
      <c r="A949" s="31"/>
      <c r="B949" s="31"/>
      <c r="C949" s="42"/>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row>
    <row r="950" spans="1:28">
      <c r="A950" s="31"/>
      <c r="B950" s="31"/>
      <c r="C950" s="42"/>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row>
    <row r="951" spans="1:28">
      <c r="A951" s="31"/>
      <c r="B951" s="31"/>
      <c r="C951" s="42"/>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row>
    <row r="952" spans="1:28">
      <c r="A952" s="31"/>
      <c r="B952" s="31"/>
      <c r="C952" s="42"/>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row>
    <row r="953" spans="1:28">
      <c r="A953" s="31"/>
      <c r="B953" s="31"/>
      <c r="C953" s="42"/>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row>
    <row r="954" spans="1:28">
      <c r="A954" s="31"/>
      <c r="B954" s="31"/>
      <c r="C954" s="42"/>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row>
    <row r="955" spans="1:28">
      <c r="A955" s="31"/>
      <c r="B955" s="31"/>
      <c r="C955" s="42"/>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row>
    <row r="956" spans="1:28">
      <c r="A956" s="31"/>
      <c r="B956" s="31"/>
      <c r="C956" s="42"/>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row>
    <row r="957" spans="1:28">
      <c r="A957" s="31"/>
      <c r="B957" s="31"/>
      <c r="C957" s="42"/>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row>
    <row r="958" spans="1:28">
      <c r="A958" s="31"/>
      <c r="B958" s="31"/>
      <c r="C958" s="42"/>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row>
    <row r="959" spans="1:28">
      <c r="A959" s="31"/>
      <c r="B959" s="31"/>
      <c r="C959" s="42"/>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row>
    <row r="960" spans="1:28">
      <c r="A960" s="31"/>
      <c r="B960" s="31"/>
      <c r="C960" s="42"/>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row>
    <row r="961" spans="1:28">
      <c r="A961" s="31"/>
      <c r="B961" s="31"/>
      <c r="C961" s="42"/>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row>
    <row r="962" spans="1:28">
      <c r="A962" s="31"/>
      <c r="B962" s="31"/>
      <c r="C962" s="42"/>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row>
    <row r="963" spans="1:28">
      <c r="A963" s="31"/>
      <c r="B963" s="31"/>
      <c r="C963" s="42"/>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row>
    <row r="964" spans="1:28">
      <c r="A964" s="31"/>
      <c r="B964" s="31"/>
      <c r="C964" s="42"/>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row>
    <row r="965" spans="1:28">
      <c r="A965" s="31"/>
      <c r="B965" s="31"/>
      <c r="C965" s="42"/>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row>
    <row r="966" spans="1:28">
      <c r="A966" s="31"/>
      <c r="B966" s="31"/>
      <c r="C966" s="42"/>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row>
    <row r="967" spans="1:28">
      <c r="A967" s="31"/>
      <c r="B967" s="31"/>
      <c r="C967" s="42"/>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row>
    <row r="968" spans="1:28">
      <c r="A968" s="31"/>
      <c r="B968" s="31"/>
      <c r="C968" s="42"/>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row>
    <row r="969" spans="1:28">
      <c r="A969" s="31"/>
      <c r="B969" s="31"/>
      <c r="C969" s="42"/>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row>
    <row r="970" spans="1:28">
      <c r="A970" s="31"/>
      <c r="B970" s="31"/>
      <c r="C970" s="42"/>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row>
    <row r="971" spans="1:28">
      <c r="A971" s="31"/>
      <c r="B971" s="31"/>
      <c r="C971" s="42"/>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row>
    <row r="972" spans="1:28">
      <c r="A972" s="31"/>
      <c r="B972" s="31"/>
      <c r="C972" s="42"/>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row>
    <row r="973" spans="1:28">
      <c r="A973" s="31"/>
      <c r="B973" s="31"/>
      <c r="C973" s="42"/>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row>
    <row r="974" spans="1:28">
      <c r="A974" s="31"/>
      <c r="B974" s="31"/>
      <c r="C974" s="42"/>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row>
    <row r="975" spans="1:28">
      <c r="A975" s="31"/>
      <c r="B975" s="31"/>
      <c r="C975" s="42"/>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row>
    <row r="976" spans="1:28">
      <c r="A976" s="31"/>
      <c r="B976" s="31"/>
      <c r="C976" s="42"/>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row>
    <row r="977" spans="1:28">
      <c r="A977" s="31"/>
      <c r="B977" s="31"/>
      <c r="C977" s="42"/>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row>
    <row r="978" spans="1:28">
      <c r="A978" s="31"/>
      <c r="B978" s="31"/>
      <c r="C978" s="42"/>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row>
    <row r="979" spans="1:28">
      <c r="A979" s="31"/>
      <c r="B979" s="31"/>
      <c r="C979" s="42"/>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row>
    <row r="980" spans="1:28">
      <c r="A980" s="31"/>
      <c r="B980" s="31"/>
      <c r="C980" s="42"/>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row>
    <row r="981" spans="1:28">
      <c r="A981" s="31"/>
      <c r="B981" s="31"/>
      <c r="C981" s="42"/>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row>
    <row r="982" spans="1:28">
      <c r="A982" s="31"/>
      <c r="B982" s="31"/>
      <c r="C982" s="42"/>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row>
    <row r="983" spans="1:28">
      <c r="A983" s="31"/>
      <c r="B983" s="31"/>
      <c r="C983" s="42"/>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row>
    <row r="984" spans="1:28">
      <c r="A984" s="31"/>
      <c r="B984" s="31"/>
      <c r="C984" s="42"/>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row>
    <row r="985" spans="1:28">
      <c r="A985" s="31"/>
      <c r="B985" s="31"/>
      <c r="C985" s="42"/>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row>
    <row r="986" spans="1:28">
      <c r="A986" s="31"/>
      <c r="B986" s="31"/>
      <c r="C986" s="42"/>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row>
    <row r="987" spans="1:28">
      <c r="A987" s="31"/>
      <c r="B987" s="31"/>
      <c r="C987" s="42"/>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row>
    <row r="988" spans="1:28">
      <c r="A988" s="31"/>
      <c r="B988" s="31"/>
      <c r="C988" s="42"/>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row>
    <row r="989" spans="1:28">
      <c r="A989" s="31"/>
      <c r="B989" s="31"/>
      <c r="C989" s="42"/>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row>
    <row r="990" spans="1:28">
      <c r="A990" s="31"/>
      <c r="B990" s="31"/>
      <c r="C990" s="42"/>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row>
    <row r="991" spans="1:28">
      <c r="A991" s="31"/>
      <c r="B991" s="31"/>
      <c r="C991" s="42"/>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row>
    <row r="992" spans="1:28">
      <c r="A992" s="31"/>
      <c r="B992" s="31"/>
      <c r="C992" s="42"/>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row>
    <row r="993" spans="1:28">
      <c r="A993" s="31"/>
      <c r="B993" s="31"/>
      <c r="C993" s="42"/>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row>
    <row r="994" spans="1:28">
      <c r="A994" s="31"/>
      <c r="B994" s="31"/>
      <c r="C994" s="42"/>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row>
    <row r="995" spans="1:28">
      <c r="C995" s="42"/>
      <c r="D995" s="31"/>
      <c r="E995" s="31"/>
    </row>
    <row r="996" spans="1:28">
      <c r="C996" s="42"/>
      <c r="D996" s="31"/>
      <c r="E996" s="31"/>
    </row>
  </sheetData>
  <sheetProtection selectLockedCells="1"/>
  <mergeCells count="23">
    <mergeCell ref="L37:M37"/>
    <mergeCell ref="Q8:R13"/>
    <mergeCell ref="Q18:R23"/>
    <mergeCell ref="N27:R27"/>
    <mergeCell ref="N37:R37"/>
    <mergeCell ref="N36:R36"/>
    <mergeCell ref="N35:R35"/>
    <mergeCell ref="N34:R34"/>
    <mergeCell ref="N33:R33"/>
    <mergeCell ref="N32:R32"/>
    <mergeCell ref="N31:R31"/>
    <mergeCell ref="N30:R30"/>
    <mergeCell ref="N29:R29"/>
    <mergeCell ref="N28:R28"/>
    <mergeCell ref="L31:M31"/>
    <mergeCell ref="L30:M30"/>
    <mergeCell ref="L29:M29"/>
    <mergeCell ref="L28:M28"/>
    <mergeCell ref="L36:M36"/>
    <mergeCell ref="L35:M35"/>
    <mergeCell ref="L34:M34"/>
    <mergeCell ref="L33:M33"/>
    <mergeCell ref="L32:M32"/>
  </mergeCells>
  <phoneticPr fontId="8" type="noConversion"/>
  <conditionalFormatting sqref="C7:C31">
    <cfRule type="expression" dxfId="29" priority="11">
      <formula>C7=B7</formula>
    </cfRule>
  </conditionalFormatting>
  <conditionalFormatting sqref="C34:C39">
    <cfRule type="expression" dxfId="28" priority="1">
      <formula>C34=B34</formula>
    </cfRule>
  </conditionalFormatting>
  <conditionalFormatting sqref="K5">
    <cfRule type="expression" dxfId="27" priority="2">
      <formula>AND($N$14,$N$24)</formula>
    </cfRule>
  </conditionalFormatting>
  <conditionalFormatting sqref="K28:K37">
    <cfRule type="expression" dxfId="26" priority="6">
      <formula>OR(I28,ISBLANK(L28),"")</formula>
    </cfRule>
  </conditionalFormatting>
  <conditionalFormatting sqref="L9:L13">
    <cfRule type="expression" dxfId="25" priority="10">
      <formula>L9=K9</formula>
    </cfRule>
  </conditionalFormatting>
  <conditionalFormatting sqref="L19:L23">
    <cfRule type="expression" dxfId="24" priority="9">
      <formula>L19=K19</formula>
    </cfRule>
  </conditionalFormatting>
  <conditionalFormatting sqref="L28:M37">
    <cfRule type="expression" dxfId="23" priority="5">
      <formula>OR(I28,ISBLANK(L28),"")</formula>
    </cfRule>
  </conditionalFormatting>
  <conditionalFormatting sqref="N28:R37">
    <cfRule type="expression" dxfId="22" priority="3">
      <formula>NOT(OR(I28,ISBLANK(L28),""))</formula>
    </cfRule>
    <cfRule type="expression" priority="4">
      <formula>notor(I28,ISBLANK(L28),"")</formula>
    </cfRule>
  </conditionalFormatting>
  <dataValidations count="2">
    <dataValidation type="decimal" allowBlank="1" showInputMessage="1" showErrorMessage="1" sqref="M9:M13 M19:M23" xr:uid="{AE9687B4-E10C-419E-A2D9-8EDFE4629F1A}">
      <formula1>0</formula1>
      <formula2>1</formula2>
    </dataValidation>
    <dataValidation type="textLength" errorStyle="information" operator="lessThanOrEqual" allowBlank="1" showInputMessage="1" showErrorMessage="1" errorTitle="Description too long" error="Description text must be 200 characters or less." sqref="E7:E31" xr:uid="{78F1AC8B-DFA5-43D3-8C1F-331416D35961}">
      <formula1>300</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DCDCE-B307-4752-8B49-71B86410B636}">
  <sheetPr>
    <outlinePr summaryBelow="0" summaryRight="0"/>
  </sheetPr>
  <dimension ref="A1:JU39"/>
  <sheetViews>
    <sheetView showGridLines="0" zoomScale="90" zoomScaleNormal="90" workbookViewId="0">
      <selection activeCell="E20" sqref="E20"/>
    </sheetView>
  </sheetViews>
  <sheetFormatPr defaultColWidth="14.42578125" defaultRowHeight="15.75" customHeight="1"/>
  <cols>
    <col min="1" max="1" width="33.5703125" style="16" bestFit="1" customWidth="1"/>
    <col min="2" max="2" width="1.85546875" style="25" customWidth="1"/>
    <col min="3" max="7" width="12.140625" style="15" customWidth="1"/>
    <col min="8" max="8" width="1.28515625" style="15" customWidth="1"/>
    <col min="9" max="13" width="12.140625" style="15" customWidth="1"/>
    <col min="14" max="14" width="1.42578125" style="15" customWidth="1"/>
    <col min="15" max="16" width="12.140625" style="15" customWidth="1"/>
    <col min="17" max="17" width="9.140625" style="15" customWidth="1"/>
    <col min="18" max="19" width="7.7109375" style="18" customWidth="1"/>
    <col min="20" max="38" width="8.42578125" style="18" customWidth="1"/>
    <col min="39" max="43" width="14.42578125" style="18"/>
    <col min="44" max="44" width="14.140625" style="18" customWidth="1"/>
    <col min="45" max="142" width="14.42578125" style="18"/>
    <col min="143" max="281" width="14.42578125" style="23"/>
    <col min="282" max="16384" width="14.42578125" style="18"/>
  </cols>
  <sheetData>
    <row r="1" spans="1:281" ht="12.75">
      <c r="A1" s="13"/>
      <c r="C1" s="14"/>
    </row>
    <row r="2" spans="1:281" ht="36" customHeight="1">
      <c r="A2" s="60" t="s">
        <v>79</v>
      </c>
      <c r="C2" s="77" t="s">
        <v>64</v>
      </c>
      <c r="D2" s="77" t="s">
        <v>0</v>
      </c>
      <c r="E2" s="77" t="s">
        <v>1</v>
      </c>
      <c r="F2" s="77" t="s">
        <v>2</v>
      </c>
      <c r="G2" s="77" t="s">
        <v>3</v>
      </c>
      <c r="H2" s="12"/>
      <c r="I2" s="77" t="s">
        <v>65</v>
      </c>
      <c r="J2" s="77" t="s">
        <v>26</v>
      </c>
      <c r="K2" s="77" t="s">
        <v>27</v>
      </c>
      <c r="L2" s="77" t="s">
        <v>28</v>
      </c>
      <c r="M2" s="77" t="s">
        <v>29</v>
      </c>
    </row>
    <row r="3" spans="1:281" ht="12.75">
      <c r="C3" s="78">
        <v>0</v>
      </c>
      <c r="D3" s="78">
        <v>1</v>
      </c>
      <c r="E3" s="78">
        <v>2</v>
      </c>
      <c r="F3" s="78">
        <v>3</v>
      </c>
      <c r="G3" s="78">
        <v>4</v>
      </c>
      <c r="I3" s="78">
        <v>0</v>
      </c>
      <c r="J3" s="78">
        <v>1</v>
      </c>
      <c r="K3" s="78">
        <v>2</v>
      </c>
      <c r="L3" s="78">
        <v>3</v>
      </c>
      <c r="M3" s="78">
        <v>4</v>
      </c>
    </row>
    <row r="4" spans="1:281" ht="3" customHeight="1">
      <c r="B4" s="26"/>
      <c r="C4" s="18" t="b">
        <f>NOT('Step 1 - Fill in Details'!$N$9)</f>
        <v>1</v>
      </c>
      <c r="D4" s="18" t="b">
        <f>NOT('Step 1 - Fill in Details'!$N$10)</f>
        <v>1</v>
      </c>
      <c r="E4" s="18" t="b">
        <f>NOT('Step 1 - Fill in Details'!$N$11)</f>
        <v>1</v>
      </c>
      <c r="F4" s="18" t="b">
        <f>NOT('Step 1 - Fill in Details'!$N12)</f>
        <v>0</v>
      </c>
      <c r="G4" s="18" t="b">
        <f>NOT('Step 1 - Fill in Details'!$N$13)</f>
        <v>0</v>
      </c>
      <c r="I4" s="18" t="b">
        <f>NOT('Step 1 - Fill in Details'!$N$19)</f>
        <v>1</v>
      </c>
      <c r="J4" s="18" t="b">
        <f>NOT('Step 1 - Fill in Details'!$N$20)</f>
        <v>1</v>
      </c>
      <c r="K4" s="18" t="b">
        <f>NOT('Step 1 - Fill in Details'!$N$21)</f>
        <v>1</v>
      </c>
      <c r="L4" s="18" t="b">
        <f>NOT('Step 1 - Fill in Details'!$N$22)</f>
        <v>0</v>
      </c>
      <c r="M4" s="18" t="b">
        <f>NOT('Step 1 - Fill in Details'!$N$23)</f>
        <v>0</v>
      </c>
    </row>
    <row r="5" spans="1:281" ht="18.75">
      <c r="B5" s="26"/>
      <c r="C5" s="120" t="str">
        <f>iTechnology&amp;" use cases in "&amp;iIndustry&amp;" industry"</f>
        <v xml:space="preserve"> use cases in Lorem Ipsum industry</v>
      </c>
      <c r="D5" s="120"/>
      <c r="E5" s="120"/>
      <c r="F5" s="120"/>
      <c r="G5" s="120"/>
      <c r="H5" s="120"/>
      <c r="I5" s="120"/>
      <c r="J5" s="120"/>
      <c r="K5" s="120"/>
      <c r="L5" s="120"/>
      <c r="M5" s="120"/>
    </row>
    <row r="6" spans="1:281" s="9" customFormat="1" ht="3" customHeight="1" thickBot="1">
      <c r="A6" s="17"/>
      <c r="B6" s="26"/>
      <c r="C6" s="17"/>
      <c r="D6" s="17"/>
      <c r="E6" s="17"/>
      <c r="F6" s="17"/>
      <c r="G6" s="17"/>
      <c r="H6" s="17"/>
      <c r="I6" s="17"/>
      <c r="J6" s="17"/>
      <c r="K6" s="17"/>
      <c r="L6" s="17"/>
      <c r="M6" s="17"/>
      <c r="N6" s="17"/>
      <c r="O6" s="17"/>
      <c r="P6" s="17"/>
      <c r="Q6" s="17"/>
      <c r="EM6" s="107"/>
      <c r="EN6" s="107"/>
      <c r="EO6" s="107"/>
      <c r="EP6" s="107"/>
      <c r="EQ6" s="107"/>
      <c r="ER6" s="107"/>
      <c r="ES6" s="107"/>
      <c r="ET6" s="107"/>
      <c r="EU6" s="107"/>
      <c r="EV6" s="107"/>
      <c r="EW6" s="107"/>
      <c r="EX6" s="107"/>
      <c r="EY6" s="107"/>
      <c r="EZ6" s="107"/>
      <c r="FA6" s="107"/>
      <c r="FB6" s="107"/>
      <c r="FC6" s="107"/>
      <c r="FD6" s="107"/>
      <c r="FE6" s="107"/>
      <c r="FF6" s="107"/>
      <c r="FG6" s="107"/>
      <c r="FH6" s="107"/>
      <c r="FI6" s="107"/>
      <c r="FJ6" s="107"/>
      <c r="FK6" s="107"/>
      <c r="FL6" s="107"/>
      <c r="FM6" s="107"/>
      <c r="FN6" s="107"/>
      <c r="FO6" s="107"/>
      <c r="FP6" s="107"/>
      <c r="FQ6" s="107"/>
      <c r="FR6" s="107"/>
      <c r="FS6" s="107"/>
      <c r="FT6" s="107"/>
      <c r="FU6" s="107"/>
      <c r="FV6" s="107"/>
      <c r="FW6" s="107"/>
      <c r="FX6" s="107"/>
      <c r="FY6" s="107"/>
      <c r="FZ6" s="107"/>
      <c r="GA6" s="107"/>
      <c r="GB6" s="107"/>
      <c r="GC6" s="107"/>
      <c r="GD6" s="107"/>
      <c r="GE6" s="107"/>
      <c r="GF6" s="107"/>
      <c r="GG6" s="107"/>
      <c r="GH6" s="107"/>
      <c r="GI6" s="107"/>
      <c r="GJ6" s="107"/>
      <c r="GK6" s="107"/>
      <c r="GL6" s="107"/>
      <c r="GM6" s="107"/>
      <c r="GN6" s="107"/>
      <c r="GO6" s="107"/>
      <c r="GP6" s="107"/>
      <c r="GQ6" s="107"/>
      <c r="GR6" s="107"/>
      <c r="GS6" s="107"/>
      <c r="GT6" s="107"/>
      <c r="GU6" s="107"/>
      <c r="GV6" s="107"/>
      <c r="GW6" s="107"/>
      <c r="GX6" s="107"/>
      <c r="GY6" s="107"/>
      <c r="GZ6" s="107"/>
      <c r="HA6" s="107"/>
      <c r="HB6" s="107"/>
      <c r="HC6" s="107"/>
      <c r="HD6" s="107"/>
      <c r="HE6" s="107"/>
      <c r="HF6" s="107"/>
      <c r="HG6" s="107"/>
      <c r="HH6" s="107"/>
      <c r="HI6" s="107"/>
      <c r="HJ6" s="107"/>
      <c r="HK6" s="107"/>
      <c r="HL6" s="107"/>
      <c r="HM6" s="107"/>
      <c r="HN6" s="107"/>
      <c r="HO6" s="107"/>
      <c r="HP6" s="107"/>
      <c r="HQ6" s="107"/>
      <c r="HR6" s="107"/>
      <c r="HS6" s="107"/>
      <c r="HT6" s="107"/>
      <c r="HU6" s="107"/>
      <c r="HV6" s="107"/>
      <c r="HW6" s="107"/>
      <c r="HX6" s="107"/>
      <c r="HY6" s="107"/>
      <c r="HZ6" s="107"/>
      <c r="IA6" s="107"/>
      <c r="IB6" s="107"/>
      <c r="IC6" s="107"/>
      <c r="ID6" s="107"/>
      <c r="IE6" s="107"/>
      <c r="IF6" s="107"/>
      <c r="IG6" s="107"/>
      <c r="IH6" s="107"/>
      <c r="II6" s="107"/>
      <c r="IJ6" s="107"/>
      <c r="IK6" s="107"/>
      <c r="IL6" s="107"/>
      <c r="IM6" s="107"/>
      <c r="IN6" s="107"/>
      <c r="IO6" s="107"/>
      <c r="IP6" s="107"/>
      <c r="IQ6" s="107"/>
      <c r="IR6" s="107"/>
      <c r="IS6" s="107"/>
      <c r="IT6" s="107"/>
      <c r="IU6" s="107"/>
      <c r="IV6" s="107"/>
      <c r="IW6" s="107"/>
      <c r="IX6" s="107"/>
      <c r="IY6" s="107"/>
      <c r="IZ6" s="107"/>
      <c r="JA6" s="107"/>
      <c r="JB6" s="107"/>
      <c r="JC6" s="107"/>
      <c r="JD6" s="107"/>
      <c r="JE6" s="107"/>
      <c r="JF6" s="107"/>
      <c r="JG6" s="107"/>
      <c r="JH6" s="107"/>
      <c r="JI6" s="107"/>
      <c r="JJ6" s="107"/>
      <c r="JK6" s="107"/>
      <c r="JL6" s="107"/>
      <c r="JM6" s="107"/>
      <c r="JN6" s="107"/>
      <c r="JO6" s="107"/>
      <c r="JP6" s="107"/>
      <c r="JQ6" s="107"/>
      <c r="JR6" s="107"/>
      <c r="JS6" s="107"/>
      <c r="JT6" s="107"/>
      <c r="JU6" s="107"/>
    </row>
    <row r="7" spans="1:281" ht="16.5" thickTop="1" thickBot="1">
      <c r="B7" s="26"/>
      <c r="C7" s="123" t="s">
        <v>4</v>
      </c>
      <c r="D7" s="124"/>
      <c r="E7" s="124"/>
      <c r="F7" s="124"/>
      <c r="G7" s="125"/>
      <c r="H7" s="17"/>
      <c r="I7" s="123" t="s">
        <v>5</v>
      </c>
      <c r="J7" s="124"/>
      <c r="K7" s="124"/>
      <c r="L7" s="124"/>
      <c r="M7" s="125"/>
      <c r="N7" s="17"/>
      <c r="O7" s="121" t="s">
        <v>6</v>
      </c>
      <c r="P7" s="122"/>
      <c r="Q7" s="23"/>
    </row>
    <row r="8" spans="1:281" s="9" customFormat="1" ht="4.5" customHeight="1" thickTop="1">
      <c r="C8" s="61" t="b">
        <f>SUM(C10:G10)=1</f>
        <v>1</v>
      </c>
      <c r="I8" s="61" t="b">
        <f>SUM(I10:M10)=1</f>
        <v>1</v>
      </c>
      <c r="EM8" s="107"/>
      <c r="EN8" s="107"/>
      <c r="EO8" s="107"/>
      <c r="EP8" s="107"/>
      <c r="EQ8" s="107"/>
      <c r="ER8" s="107"/>
      <c r="ES8" s="107"/>
      <c r="ET8" s="107"/>
      <c r="EU8" s="107"/>
      <c r="EV8" s="107"/>
      <c r="EW8" s="107"/>
      <c r="EX8" s="107"/>
      <c r="EY8" s="107"/>
      <c r="EZ8" s="107"/>
      <c r="FA8" s="107"/>
      <c r="FB8" s="107"/>
      <c r="FC8" s="107"/>
      <c r="FD8" s="107"/>
      <c r="FE8" s="107"/>
      <c r="FF8" s="107"/>
      <c r="FG8" s="107"/>
      <c r="FH8" s="107"/>
      <c r="FI8" s="107"/>
      <c r="FJ8" s="107"/>
      <c r="FK8" s="107"/>
      <c r="FL8" s="107"/>
      <c r="FM8" s="107"/>
      <c r="FN8" s="107"/>
      <c r="FO8" s="107"/>
      <c r="FP8" s="107"/>
      <c r="FQ8" s="107"/>
      <c r="FR8" s="107"/>
      <c r="FS8" s="107"/>
      <c r="FT8" s="107"/>
      <c r="FU8" s="107"/>
      <c r="FV8" s="107"/>
      <c r="FW8" s="107"/>
      <c r="FX8" s="107"/>
      <c r="FY8" s="107"/>
      <c r="FZ8" s="107"/>
      <c r="GA8" s="107"/>
      <c r="GB8" s="107"/>
      <c r="GC8" s="107"/>
      <c r="GD8" s="107"/>
      <c r="GE8" s="107"/>
      <c r="GF8" s="107"/>
      <c r="GG8" s="107"/>
      <c r="GH8" s="107"/>
      <c r="GI8" s="107"/>
      <c r="GJ8" s="107"/>
      <c r="GK8" s="107"/>
      <c r="GL8" s="107"/>
      <c r="GM8" s="107"/>
      <c r="GN8" s="107"/>
      <c r="GO8" s="107"/>
      <c r="GP8" s="107"/>
      <c r="GQ8" s="107"/>
      <c r="GR8" s="107"/>
      <c r="GS8" s="107"/>
      <c r="GT8" s="107"/>
      <c r="GU8" s="107"/>
      <c r="GV8" s="107"/>
      <c r="GW8" s="107"/>
      <c r="GX8" s="107"/>
      <c r="GY8" s="107"/>
      <c r="GZ8" s="107"/>
      <c r="HA8" s="107"/>
      <c r="HB8" s="107"/>
      <c r="HC8" s="107"/>
      <c r="HD8" s="107"/>
      <c r="HE8" s="107"/>
      <c r="HF8" s="107"/>
      <c r="HG8" s="107"/>
      <c r="HH8" s="107"/>
      <c r="HI8" s="107"/>
      <c r="HJ8" s="107"/>
      <c r="HK8" s="107"/>
      <c r="HL8" s="107"/>
      <c r="HM8" s="107"/>
      <c r="HN8" s="107"/>
      <c r="HO8" s="107"/>
      <c r="HP8" s="107"/>
      <c r="HQ8" s="107"/>
      <c r="HR8" s="107"/>
      <c r="HS8" s="107"/>
      <c r="HT8" s="107"/>
      <c r="HU8" s="107"/>
      <c r="HV8" s="107"/>
      <c r="HW8" s="107"/>
      <c r="HX8" s="107"/>
      <c r="HY8" s="107"/>
      <c r="HZ8" s="107"/>
      <c r="IA8" s="107"/>
      <c r="IB8" s="107"/>
      <c r="IC8" s="107"/>
      <c r="ID8" s="107"/>
      <c r="IE8" s="107"/>
      <c r="IF8" s="107"/>
      <c r="IG8" s="107"/>
      <c r="IH8" s="107"/>
      <c r="II8" s="107"/>
      <c r="IJ8" s="107"/>
      <c r="IK8" s="107"/>
      <c r="IL8" s="107"/>
      <c r="IM8" s="107"/>
      <c r="IN8" s="107"/>
      <c r="IO8" s="107"/>
      <c r="IP8" s="107"/>
      <c r="IQ8" s="107"/>
      <c r="IR8" s="107"/>
      <c r="IS8" s="107"/>
      <c r="IT8" s="107"/>
      <c r="IU8" s="107"/>
      <c r="IV8" s="107"/>
      <c r="IW8" s="107"/>
      <c r="IX8" s="107"/>
      <c r="IY8" s="107"/>
      <c r="IZ8" s="107"/>
      <c r="JA8" s="107"/>
      <c r="JB8" s="107"/>
      <c r="JC8" s="107"/>
      <c r="JD8" s="107"/>
      <c r="JE8" s="107"/>
      <c r="JF8" s="107"/>
      <c r="JG8" s="107"/>
      <c r="JH8" s="107"/>
      <c r="JI8" s="107"/>
      <c r="JJ8" s="107"/>
      <c r="JK8" s="107"/>
      <c r="JL8" s="107"/>
      <c r="JM8" s="107"/>
      <c r="JN8" s="107"/>
      <c r="JO8" s="107"/>
      <c r="JP8" s="107"/>
      <c r="JQ8" s="107"/>
      <c r="JR8" s="107"/>
      <c r="JS8" s="107"/>
      <c r="JT8" s="107"/>
      <c r="JU8" s="107"/>
    </row>
    <row r="9" spans="1:281" ht="24">
      <c r="A9" s="17"/>
      <c r="B9" s="26"/>
      <c r="C9" s="81" t="str">
        <f>IF(NOT('Step 1 - Fill in Details'!N9),'Step 1 - Fill in Details'!L9,"")</f>
        <v>Cost Reduction</v>
      </c>
      <c r="D9" s="81" t="str">
        <f>IF(NOT('Step 1 - Fill in Details'!N10),'Step 1 - Fill in Details'!L10,"")</f>
        <v>Revenue Optimization</v>
      </c>
      <c r="E9" s="81" t="str">
        <f>IF(NOT('Step 1 - Fill in Details'!N11),'Step 1 - Fill in Details'!L11,"")</f>
        <v>CX Improvement</v>
      </c>
      <c r="F9" s="81" t="str">
        <f>IF(NOT('Step 1 - Fill in Details'!N12),'Step 1 - Fill in Details'!L12,"")</f>
        <v/>
      </c>
      <c r="G9" s="81" t="str">
        <f>IF(NOT('Step 1 - Fill in Details'!N13),'Step 1 - Fill in Details'!L13,"")</f>
        <v/>
      </c>
      <c r="H9" s="17"/>
      <c r="I9" s="82" t="str">
        <f>IF(NOT('Step 1 - Fill in Details'!N19),'Step 1 - Fill in Details'!L19,"")</f>
        <v>Technical</v>
      </c>
      <c r="J9" s="82" t="str">
        <f>IF(NOT('Step 1 - Fill in Details'!N20),'Step 1 - Fill in Details'!L20,"")</f>
        <v>Internal</v>
      </c>
      <c r="K9" s="82" t="str">
        <f>IF(NOT('Step 1 - Fill in Details'!N21),'Step 1 - Fill in Details'!L21,"")</f>
        <v>External</v>
      </c>
      <c r="L9" s="82" t="str">
        <f>IF(NOT('Step 1 - Fill in Details'!N22),'Step 1 - Fill in Details'!L22,"")</f>
        <v/>
      </c>
      <c r="M9" s="82" t="str">
        <f>IF(NOT('Step 1 - Fill in Details'!N23),'Step 1 - Fill in Details'!L23,"")</f>
        <v/>
      </c>
      <c r="N9" s="17"/>
      <c r="O9" s="80" t="s">
        <v>105</v>
      </c>
      <c r="P9" s="79" t="s">
        <v>106</v>
      </c>
      <c r="Q9" s="24"/>
      <c r="R9" s="106"/>
      <c r="S9" s="106"/>
      <c r="T9" s="106"/>
      <c r="U9" s="30"/>
      <c r="V9" s="30"/>
      <c r="W9" s="30"/>
      <c r="X9" s="30"/>
      <c r="Y9" s="30"/>
      <c r="Z9" s="30"/>
      <c r="AA9" s="30"/>
      <c r="AB9" s="30"/>
      <c r="AC9" s="30"/>
      <c r="AD9" s="30"/>
      <c r="AE9" s="30"/>
      <c r="AF9" s="30"/>
      <c r="AG9" s="30"/>
      <c r="AH9" s="30"/>
      <c r="AI9" s="106"/>
      <c r="AJ9" s="106"/>
    </row>
    <row r="10" spans="1:281" ht="15">
      <c r="A10" s="19" t="s">
        <v>7</v>
      </c>
      <c r="B10" s="26"/>
      <c r="C10" s="20">
        <f>IF(NOT('Step 1 - Fill in Details'!N9),'Step 1 - Fill in Details'!M9,0)</f>
        <v>0.3</v>
      </c>
      <c r="D10" s="20">
        <f>IF(NOT('Step 1 - Fill in Details'!N10),'Step 1 - Fill in Details'!M10,0)</f>
        <v>0.4</v>
      </c>
      <c r="E10" s="20">
        <f>IF(NOT('Step 1 - Fill in Details'!N11),'Step 1 - Fill in Details'!M11,0)</f>
        <v>0.3</v>
      </c>
      <c r="F10" s="20">
        <f>IF(NOT('Step 1 - Fill in Details'!N12),'Step 1 - Fill in Details'!M12,0)</f>
        <v>0</v>
      </c>
      <c r="G10" s="20">
        <f>IF(NOT('Step 1 - Fill in Details'!N13),'Step 1 - Fill in Details'!M13,0)</f>
        <v>0</v>
      </c>
      <c r="H10" s="17"/>
      <c r="I10" s="20">
        <f>IF(NOT('Step 1 - Fill in Details'!N19),'Step 1 - Fill in Details'!M19,0)</f>
        <v>0.3</v>
      </c>
      <c r="J10" s="20">
        <f>IF(NOT('Step 1 - Fill in Details'!N20),'Step 1 - Fill in Details'!M20,0)</f>
        <v>0.4</v>
      </c>
      <c r="K10" s="20">
        <f>IF(NOT('Step 1 - Fill in Details'!N21),'Step 1 - Fill in Details'!M21,0)</f>
        <v>0.3</v>
      </c>
      <c r="L10" s="20">
        <f>IF(NOT('Step 1 - Fill in Details'!N22),'Step 1 - Fill in Details'!M22,0)</f>
        <v>0</v>
      </c>
      <c r="M10" s="20">
        <f>IF(NOT('Step 1 - Fill in Details'!N23),'Step 1 - Fill in Details'!M23,0)</f>
        <v>0</v>
      </c>
      <c r="N10" s="17"/>
      <c r="O10"/>
      <c r="P10"/>
      <c r="Q10" s="23"/>
      <c r="U10" s="30"/>
      <c r="V10" s="30"/>
      <c r="W10" s="30"/>
      <c r="X10" s="30"/>
      <c r="Y10" s="30"/>
      <c r="Z10" s="30"/>
      <c r="AA10" s="30"/>
      <c r="AB10" s="30"/>
      <c r="AC10" s="30"/>
      <c r="AD10" s="30"/>
      <c r="AE10" s="30"/>
      <c r="AF10" s="30"/>
      <c r="AG10" s="30"/>
      <c r="AH10" s="30"/>
    </row>
    <row r="11" spans="1:281">
      <c r="A11" s="27" t="str">
        <f>'Step 1 - Fill in Details'!C7</f>
        <v>Example Use Case 1</v>
      </c>
      <c r="B11" s="9" t="b">
        <f>'Step 1 - Fill in Details'!D7</f>
        <v>1</v>
      </c>
      <c r="C11" s="21">
        <v>4</v>
      </c>
      <c r="D11" s="21">
        <v>0</v>
      </c>
      <c r="E11" s="21">
        <v>4</v>
      </c>
      <c r="F11" s="21"/>
      <c r="G11" s="21"/>
      <c r="H11" s="22"/>
      <c r="I11" s="21" t="s">
        <v>81</v>
      </c>
      <c r="J11" s="21">
        <v>2</v>
      </c>
      <c r="K11" s="21">
        <v>1</v>
      </c>
      <c r="L11" s="21"/>
      <c r="M11" s="21"/>
      <c r="N11" s="17"/>
      <c r="O11" s="83">
        <f>AX11</f>
        <v>2.4</v>
      </c>
      <c r="P11" s="84">
        <f>AY11</f>
        <v>1.5714285714285716</v>
      </c>
      <c r="Q11" s="18" cm="1">
        <f t="array" aca="1" ref="Q11" ca="1">P11+O11+(RAND()*0.00000000000001+1/ROW(1:1)*0.000001)</f>
        <v>3.9714295714285783</v>
      </c>
      <c r="R11" s="18" t="b">
        <f t="shared" ref="R11:R35" si="0">AND(P11=0,O11=0)</f>
        <v>0</v>
      </c>
      <c r="S11" s="18" cm="1">
        <f t="array" ref="S11">SUMPRODUCT(($R$11:R11)*1)</f>
        <v>0</v>
      </c>
      <c r="U11" s="30" t="b">
        <f>AND(O11=0,P11=0)</f>
        <v>0</v>
      </c>
      <c r="V11" s="30" cm="1">
        <f t="array" ref="V11">SUMPRODUCT(($U$10:U11)*1)</f>
        <v>0</v>
      </c>
      <c r="W11" s="30"/>
      <c r="X11" s="30" cm="1">
        <f t="array" ref="X11">SUMPRODUCT($I$10:$M$10,(I11:M11&lt;&gt;"NA")*1)</f>
        <v>0.7</v>
      </c>
      <c r="Y11" s="30">
        <f>IF(I11="NA",0,I$10/$X11)</f>
        <v>0</v>
      </c>
      <c r="Z11" s="30">
        <f>IF(J11="NA",0,J$10/$X11)</f>
        <v>0.57142857142857151</v>
      </c>
      <c r="AA11" s="30">
        <f>IF(K11="NA",0,K$10/$X11)</f>
        <v>0.4285714285714286</v>
      </c>
      <c r="AB11" s="30">
        <f>IF(L11="NA",0,L$10/$X11)</f>
        <v>0</v>
      </c>
      <c r="AC11" s="30">
        <f>IF(M11="NA",0,M$10/$X11)</f>
        <v>0</v>
      </c>
      <c r="AD11" s="30" t="str">
        <f>IF(X11&lt;1, AE11, "")</f>
        <v>Readjusted weights:  :57.1428571428572% :42.8571428571429%    in this use case because      has/have NA values in it</v>
      </c>
      <c r="AE11" s="30" t="str">
        <f>CONCATENATE("Readjusted weights: ",
IF(Y11=0, " ", CONCATENATE($J$8, ":", Y11*100, "% ")),
IF(Z11=0, " ", CONCATENATE($K$8, ":", Z11*100, "% ")),
IF(AA11=0, " ", CONCATENATE($L$8, ":", AA11*100, "% ")),
IF(AB11=0, " ", CONCATENATE($M$8, ":", AB11*100, "% ")),
IF(AC11=0, " ", CONCATENATE($N$8, ":", AC11*100, "% ")),
 " in this use case because ", AF11, " ", AG11, " ", AH11, " ", AI11, " ", AJ11, " has/have NA values in it")</f>
        <v>Readjusted weights:  :57.1428571428572% :42.8571428571429%    in this use case because      has/have NA values in it</v>
      </c>
      <c r="AF11" s="30" t="str">
        <f>IF(J11="NA", $J$8,"")</f>
        <v/>
      </c>
      <c r="AG11" s="30" t="str">
        <f t="shared" ref="AG11:AJ11" si="1">IF(K11="NA", $J$8,"")</f>
        <v/>
      </c>
      <c r="AH11" s="30" t="str">
        <f t="shared" si="1"/>
        <v/>
      </c>
      <c r="AI11" s="30" t="str">
        <f t="shared" si="1"/>
        <v/>
      </c>
      <c r="AJ11" s="30" t="str">
        <f t="shared" si="1"/>
        <v/>
      </c>
      <c r="AK11" s="18" cm="1">
        <f t="array" ref="AK11">SUMPRODUCT($C$10:$G$10,(C11:G11&lt;&gt;"NA")*1)</f>
        <v>1</v>
      </c>
      <c r="AL11" s="18">
        <f>IF(C11="NA",0,C$10/$AK11)</f>
        <v>0.3</v>
      </c>
      <c r="AM11" s="18">
        <f t="shared" ref="AM11:AP11" si="2">IF(D11="NA",0,D$10/$AK11)</f>
        <v>0.4</v>
      </c>
      <c r="AN11" s="18">
        <f t="shared" si="2"/>
        <v>0.3</v>
      </c>
      <c r="AO11" s="18">
        <f t="shared" si="2"/>
        <v>0</v>
      </c>
      <c r="AP11" s="18">
        <f t="shared" si="2"/>
        <v>0</v>
      </c>
      <c r="AQ11" s="18" t="str">
        <f>IF(AK11&lt;1, AR11, "")</f>
        <v/>
      </c>
      <c r="AR11" s="18" t="str">
        <f>CONCATENATE("Readjusted weights: ",
IF(AL11=0, " ", CONCATENATE($D$8, ":", AL11*100, "% ")),
IF(AM11=0, " ", CONCATENATE($E$8, ":", AM11*100, "% ")),
IF(AN11=0, " ", CONCATENATE($F$8, ":", AN11*100, "% ")),
IF(AO11=0, " ", CONCATENATE($G$8, ":", AO11*100, "% ")),
IF(AP11=0, " ", CONCATENATE($H$8, ":", AP11*100, "% ")),
 " in this use case because ", AS11, " ", AT11, " ", AU11, " ", AV11, " ", AW11, " has/have NA values in it")</f>
        <v>Readjusted weights: :30% :40% :30%    in this use case because      has/have NA values in it</v>
      </c>
      <c r="AS11" s="18" t="str">
        <f>IF(C11="NA", C$10,"")</f>
        <v/>
      </c>
      <c r="AT11" s="18" t="str">
        <f t="shared" ref="AT11:AW11" si="3">IF(D11="NA", D$10,"")</f>
        <v/>
      </c>
      <c r="AU11" s="18" t="str">
        <f t="shared" si="3"/>
        <v/>
      </c>
      <c r="AV11" s="18" t="str">
        <f t="shared" si="3"/>
        <v/>
      </c>
      <c r="AW11" s="18" t="str">
        <f t="shared" si="3"/>
        <v/>
      </c>
      <c r="AX11" s="18">
        <f>SUMPRODUCT(C11:G11,AL11:AP11)</f>
        <v>2.4</v>
      </c>
      <c r="AY11" s="18">
        <f>SUMPRODUCT(I11:M11,Y11:AC11)</f>
        <v>1.5714285714285716</v>
      </c>
    </row>
    <row r="12" spans="1:281">
      <c r="A12" s="27" t="str">
        <f>'Step 1 - Fill in Details'!C8</f>
        <v>Example Use Case 2</v>
      </c>
      <c r="B12" s="9" t="b">
        <f>'Step 1 - Fill in Details'!D8</f>
        <v>1</v>
      </c>
      <c r="C12" s="21">
        <v>1</v>
      </c>
      <c r="D12" s="21">
        <v>0</v>
      </c>
      <c r="E12" s="21">
        <v>3</v>
      </c>
      <c r="F12" s="21"/>
      <c r="G12" s="21"/>
      <c r="H12" s="22"/>
      <c r="I12" s="21" t="s">
        <v>81</v>
      </c>
      <c r="J12" s="21" t="s">
        <v>81</v>
      </c>
      <c r="K12" s="21">
        <v>1</v>
      </c>
      <c r="L12" s="21"/>
      <c r="M12" s="21"/>
      <c r="N12" s="17"/>
      <c r="O12" s="83">
        <f t="shared" ref="O12:O35" si="4">AX12</f>
        <v>1.2</v>
      </c>
      <c r="P12" s="84">
        <f t="shared" ref="P12:P35" si="5">AY12</f>
        <v>1</v>
      </c>
      <c r="Q12" s="18" cm="1">
        <f t="array" aca="1" ref="Q12" ca="1">P12+O12+(RAND()*0.00000000000001+1/ROW(2:2)*0.000001)</f>
        <v>2.2000005000000047</v>
      </c>
      <c r="R12" s="18" t="b">
        <f t="shared" si="0"/>
        <v>0</v>
      </c>
      <c r="S12" s="18" cm="1">
        <f t="array" ref="S12">SUMPRODUCT(($R$11:R12)*1)</f>
        <v>0</v>
      </c>
      <c r="U12" s="30" t="b">
        <f t="shared" ref="U12:U35" si="6">AND(O12=0,P12=0)</f>
        <v>0</v>
      </c>
      <c r="V12" s="30" cm="1">
        <f t="array" ref="V12">SUMPRODUCT(($U$10:U12)*1)</f>
        <v>0</v>
      </c>
      <c r="W12" s="30"/>
      <c r="X12" s="30" cm="1">
        <f t="array" ref="X12">SUMPRODUCT($I$10:$M$10,(I12:M12&lt;&gt;"NA")*1)</f>
        <v>0.3</v>
      </c>
      <c r="Y12" s="30">
        <f t="shared" ref="Y12:Y35" si="7">IF(I12="NA",0,I$10/$X12)</f>
        <v>0</v>
      </c>
      <c r="Z12" s="30">
        <f t="shared" ref="Z12:Z35" si="8">IF(J12="NA",0,J$10/$X12)</f>
        <v>0</v>
      </c>
      <c r="AA12" s="30">
        <f t="shared" ref="AA12:AA35" si="9">IF(K12="NA",0,K$10/$X12)</f>
        <v>1</v>
      </c>
      <c r="AB12" s="30">
        <f t="shared" ref="AB12:AB35" si="10">IF(L12="NA",0,L$10/$X12)</f>
        <v>0</v>
      </c>
      <c r="AC12" s="30">
        <f t="shared" ref="AC12:AC35" si="11">IF(M12="NA",0,M$10/$X12)</f>
        <v>0</v>
      </c>
      <c r="AD12" s="30" t="str">
        <f t="shared" ref="AD12:AD35" si="12">IF(X12&lt;1, AE12, "")</f>
        <v>Readjusted weights:   :100%    in this use case because 0     has/have NA values in it</v>
      </c>
      <c r="AE12" s="30" t="str">
        <f t="shared" ref="AE12:AE35" si="13">CONCATENATE("Readjusted weights: ",
IF(Y12=0, " ", CONCATENATE($J$8, ":", Y12*100, "% ")),
IF(Z12=0, " ", CONCATENATE($K$8, ":", Z12*100, "% ")),
IF(AA12=0, " ", CONCATENATE($L$8, ":", AA12*100, "% ")),
IF(AB12=0, " ", CONCATENATE($M$8, ":", AB12*100, "% ")),
IF(AC12=0, " ", CONCATENATE($N$8, ":", AC12*100, "% ")),
 " in this use case because ", AF12, " ", AG12, " ", AH12, " ", AI12, " ", AJ12, " has/have NA values in it")</f>
        <v>Readjusted weights:   :100%    in this use case because 0     has/have NA values in it</v>
      </c>
      <c r="AF12" s="30">
        <f t="shared" ref="AF12:AF35" si="14">IF(J12="NA", $J$8,"")</f>
        <v>0</v>
      </c>
      <c r="AG12" s="30" t="str">
        <f t="shared" ref="AG12:AG35" si="15">IF(K12="NA", $J$8,"")</f>
        <v/>
      </c>
      <c r="AH12" s="30" t="str">
        <f t="shared" ref="AH12:AH35" si="16">IF(L12="NA", $J$8,"")</f>
        <v/>
      </c>
      <c r="AI12" s="30" t="str">
        <f t="shared" ref="AI12:AI35" si="17">IF(M12="NA", $J$8,"")</f>
        <v/>
      </c>
      <c r="AJ12" s="30" t="str">
        <f t="shared" ref="AJ12:AJ35" si="18">IF(N12="NA", $J$8,"")</f>
        <v/>
      </c>
      <c r="AK12" s="18" cm="1">
        <f t="array" ref="AK12">SUMPRODUCT($C$10:$G$10,(C12:G12&lt;&gt;"NA")*1)</f>
        <v>1</v>
      </c>
      <c r="AL12" s="18">
        <f t="shared" ref="AL12:AL35" si="19">IF(C12="NA",0,C$10/$AK12)</f>
        <v>0.3</v>
      </c>
      <c r="AM12" s="18">
        <f t="shared" ref="AM12:AM35" si="20">IF(D12="NA",0,D$10/$AK12)</f>
        <v>0.4</v>
      </c>
      <c r="AN12" s="18">
        <f t="shared" ref="AN12:AN35" si="21">IF(E12="NA",0,E$10/$AK12)</f>
        <v>0.3</v>
      </c>
      <c r="AO12" s="18">
        <f t="shared" ref="AO12:AO35" si="22">IF(F12="NA",0,F$10/$AK12)</f>
        <v>0</v>
      </c>
      <c r="AP12" s="18">
        <f t="shared" ref="AP12:AP35" si="23">IF(G12="NA",0,G$10/$AK12)</f>
        <v>0</v>
      </c>
      <c r="AQ12" s="18" t="str">
        <f t="shared" ref="AQ12:AQ35" si="24">IF(AK12&lt;1, AR12, "")</f>
        <v/>
      </c>
      <c r="AR12" s="18" t="str">
        <f t="shared" ref="AR12:AR35" si="25">CONCATENATE("Readjusted weights: ",
IF(AL12=0, " ", CONCATENATE($D$8, ":", AL12*100, "% ")),
IF(AM12=0, " ", CONCATENATE($E$8, ":", AM12*100, "% ")),
IF(AN12=0, " ", CONCATENATE($F$8, ":", AN12*100, "% ")),
IF(AO12=0, " ", CONCATENATE($G$8, ":", AO12*100, "% ")),
IF(AP12=0, " ", CONCATENATE($H$8, ":", AP12*100, "% ")),
 " in this use case because ", AS12, " ", AT12, " ", AU12, " ", AV12, " ", AW12, " has/have NA values in it")</f>
        <v>Readjusted weights: :30% :40% :30%    in this use case because      has/have NA values in it</v>
      </c>
      <c r="AS12" s="18" t="str">
        <f t="shared" ref="AS12:AS35" si="26">IF(C12="NA", C$10,"")</f>
        <v/>
      </c>
      <c r="AT12" s="18" t="str">
        <f t="shared" ref="AT12:AT35" si="27">IF(D12="NA", D$10,"")</f>
        <v/>
      </c>
      <c r="AU12" s="18" t="str">
        <f t="shared" ref="AU12:AU35" si="28">IF(E12="NA", E$10,"")</f>
        <v/>
      </c>
      <c r="AV12" s="18" t="str">
        <f t="shared" ref="AV12:AV35" si="29">IF(F12="NA", F$10,"")</f>
        <v/>
      </c>
      <c r="AW12" s="18" t="str">
        <f t="shared" ref="AW12:AW35" si="30">IF(G12="NA", G$10,"")</f>
        <v/>
      </c>
      <c r="AX12" s="18">
        <f t="shared" ref="AX12:AX35" si="31">SUMPRODUCT(C12:G12,AL12:AP12)</f>
        <v>1.2</v>
      </c>
      <c r="AY12" s="18">
        <f t="shared" ref="AY12:AY35" si="32">SUMPRODUCT(I12:M12,Y12:AC12)</f>
        <v>1</v>
      </c>
    </row>
    <row r="13" spans="1:281">
      <c r="A13" s="27" t="str">
        <f>'Step 1 - Fill in Details'!C9</f>
        <v>UC3</v>
      </c>
      <c r="B13" s="9" t="b">
        <f>'Step 1 - Fill in Details'!D9</f>
        <v>0</v>
      </c>
      <c r="C13" s="21"/>
      <c r="D13" s="21"/>
      <c r="E13" s="21"/>
      <c r="F13" s="21"/>
      <c r="G13" s="21"/>
      <c r="H13" s="22"/>
      <c r="I13" s="21"/>
      <c r="J13" s="21"/>
      <c r="K13" s="21"/>
      <c r="L13" s="21"/>
      <c r="M13" s="21"/>
      <c r="N13" s="17"/>
      <c r="O13" s="83">
        <f t="shared" si="4"/>
        <v>0</v>
      </c>
      <c r="P13" s="84">
        <f t="shared" si="5"/>
        <v>0</v>
      </c>
      <c r="Q13" s="18" cm="1">
        <f t="array" aca="1" ref="Q13" ca="1">P13+O13+(RAND()*0.00000000000001+1/ROW(3:3)*0.000001)</f>
        <v>3.3333333656067648E-7</v>
      </c>
      <c r="R13" s="18" t="b">
        <f t="shared" si="0"/>
        <v>1</v>
      </c>
      <c r="S13" s="18" cm="1">
        <f t="array" ref="S13">SUMPRODUCT(($R$11:R13)*1)</f>
        <v>1</v>
      </c>
      <c r="U13" s="30" t="b">
        <f t="shared" si="6"/>
        <v>1</v>
      </c>
      <c r="V13" s="30" cm="1">
        <f t="array" ref="V13">SUMPRODUCT(($U$10:U13)*1)</f>
        <v>1</v>
      </c>
      <c r="W13" s="30"/>
      <c r="X13" s="30" cm="1">
        <f t="array" ref="X13">SUMPRODUCT($I$10:$M$10,(I13:M13&lt;&gt;"NA")*1)</f>
        <v>1</v>
      </c>
      <c r="Y13" s="30">
        <f t="shared" si="7"/>
        <v>0.3</v>
      </c>
      <c r="Z13" s="30">
        <f t="shared" si="8"/>
        <v>0.4</v>
      </c>
      <c r="AA13" s="30">
        <f t="shared" si="9"/>
        <v>0.3</v>
      </c>
      <c r="AB13" s="30">
        <f t="shared" si="10"/>
        <v>0</v>
      </c>
      <c r="AC13" s="30">
        <f t="shared" si="11"/>
        <v>0</v>
      </c>
      <c r="AD13" s="30" t="str">
        <f t="shared" si="12"/>
        <v/>
      </c>
      <c r="AE13" s="30" t="str">
        <f t="shared" si="13"/>
        <v>Readjusted weights: :30% :40% :30%    in this use case because      has/have NA values in it</v>
      </c>
      <c r="AF13" s="30" t="str">
        <f t="shared" si="14"/>
        <v/>
      </c>
      <c r="AG13" s="30" t="str">
        <f t="shared" si="15"/>
        <v/>
      </c>
      <c r="AH13" s="30" t="str">
        <f t="shared" si="16"/>
        <v/>
      </c>
      <c r="AI13" s="30" t="str">
        <f t="shared" si="17"/>
        <v/>
      </c>
      <c r="AJ13" s="30" t="str">
        <f t="shared" si="18"/>
        <v/>
      </c>
      <c r="AK13" s="18" cm="1">
        <f t="array" ref="AK13">SUMPRODUCT($C$10:$G$10,(C13:G13&lt;&gt;"NA")*1)</f>
        <v>1</v>
      </c>
      <c r="AL13" s="18">
        <f t="shared" si="19"/>
        <v>0.3</v>
      </c>
      <c r="AM13" s="18">
        <f t="shared" si="20"/>
        <v>0.4</v>
      </c>
      <c r="AN13" s="18">
        <f t="shared" si="21"/>
        <v>0.3</v>
      </c>
      <c r="AO13" s="18">
        <f t="shared" si="22"/>
        <v>0</v>
      </c>
      <c r="AP13" s="18">
        <f t="shared" si="23"/>
        <v>0</v>
      </c>
      <c r="AQ13" s="18" t="str">
        <f t="shared" si="24"/>
        <v/>
      </c>
      <c r="AR13" s="18" t="str">
        <f t="shared" si="25"/>
        <v>Readjusted weights: :30% :40% :30%    in this use case because      has/have NA values in it</v>
      </c>
      <c r="AS13" s="18" t="str">
        <f t="shared" si="26"/>
        <v/>
      </c>
      <c r="AT13" s="18" t="str">
        <f t="shared" si="27"/>
        <v/>
      </c>
      <c r="AU13" s="18" t="str">
        <f t="shared" si="28"/>
        <v/>
      </c>
      <c r="AV13" s="18" t="str">
        <f t="shared" si="29"/>
        <v/>
      </c>
      <c r="AW13" s="18" t="str">
        <f t="shared" si="30"/>
        <v/>
      </c>
      <c r="AX13" s="18">
        <f t="shared" si="31"/>
        <v>0</v>
      </c>
      <c r="AY13" s="18">
        <f t="shared" si="32"/>
        <v>0</v>
      </c>
    </row>
    <row r="14" spans="1:281">
      <c r="A14" s="27" t="str">
        <f>'Step 1 - Fill in Details'!C10</f>
        <v>UC4</v>
      </c>
      <c r="B14" s="9" t="b">
        <f>'Step 1 - Fill in Details'!D10</f>
        <v>0</v>
      </c>
      <c r="C14" s="21"/>
      <c r="D14" s="21"/>
      <c r="E14" s="21"/>
      <c r="F14" s="21"/>
      <c r="G14" s="21"/>
      <c r="H14" s="22"/>
      <c r="I14" s="21"/>
      <c r="J14" s="21"/>
      <c r="K14" s="21"/>
      <c r="L14" s="21"/>
      <c r="M14" s="21"/>
      <c r="N14" s="17"/>
      <c r="O14" s="83">
        <f t="shared" si="4"/>
        <v>0</v>
      </c>
      <c r="P14" s="84">
        <f t="shared" si="5"/>
        <v>0</v>
      </c>
      <c r="Q14" s="18" cm="1">
        <f t="array" aca="1" ref="Q14" ca="1">P14+O14+(RAND()*0.00000000000001+1/ROW(4:4)*0.000001)</f>
        <v>2.500000076745212E-7</v>
      </c>
      <c r="R14" s="18" t="b">
        <f t="shared" si="0"/>
        <v>1</v>
      </c>
      <c r="S14" s="18" cm="1">
        <f t="array" ref="S14">SUMPRODUCT(($R$11:R14)*1)</f>
        <v>2</v>
      </c>
      <c r="U14" s="30" t="b">
        <f t="shared" si="6"/>
        <v>1</v>
      </c>
      <c r="V14" s="30" cm="1">
        <f t="array" ref="V14">SUMPRODUCT(($U$10:U14)*1)</f>
        <v>2</v>
      </c>
      <c r="W14" s="30"/>
      <c r="X14" s="30" cm="1">
        <f t="array" ref="X14">SUMPRODUCT($I$10:$M$10,(I14:M14&lt;&gt;"NA")*1)</f>
        <v>1</v>
      </c>
      <c r="Y14" s="30">
        <f t="shared" si="7"/>
        <v>0.3</v>
      </c>
      <c r="Z14" s="30">
        <f t="shared" si="8"/>
        <v>0.4</v>
      </c>
      <c r="AA14" s="30">
        <f t="shared" si="9"/>
        <v>0.3</v>
      </c>
      <c r="AB14" s="30">
        <f t="shared" si="10"/>
        <v>0</v>
      </c>
      <c r="AC14" s="30">
        <f t="shared" si="11"/>
        <v>0</v>
      </c>
      <c r="AD14" s="30" t="str">
        <f t="shared" si="12"/>
        <v/>
      </c>
      <c r="AE14" s="30" t="str">
        <f t="shared" si="13"/>
        <v>Readjusted weights: :30% :40% :30%    in this use case because      has/have NA values in it</v>
      </c>
      <c r="AF14" s="30" t="str">
        <f t="shared" si="14"/>
        <v/>
      </c>
      <c r="AG14" s="30" t="str">
        <f t="shared" si="15"/>
        <v/>
      </c>
      <c r="AH14" s="30" t="str">
        <f t="shared" si="16"/>
        <v/>
      </c>
      <c r="AI14" s="30" t="str">
        <f t="shared" si="17"/>
        <v/>
      </c>
      <c r="AJ14" s="30" t="str">
        <f t="shared" si="18"/>
        <v/>
      </c>
      <c r="AK14" s="18" cm="1">
        <f t="array" ref="AK14">SUMPRODUCT($C$10:$G$10,(C14:G14&lt;&gt;"NA")*1)</f>
        <v>1</v>
      </c>
      <c r="AL14" s="18">
        <f t="shared" si="19"/>
        <v>0.3</v>
      </c>
      <c r="AM14" s="18">
        <f t="shared" si="20"/>
        <v>0.4</v>
      </c>
      <c r="AN14" s="18">
        <f t="shared" si="21"/>
        <v>0.3</v>
      </c>
      <c r="AO14" s="18">
        <f t="shared" si="22"/>
        <v>0</v>
      </c>
      <c r="AP14" s="18">
        <f t="shared" si="23"/>
        <v>0</v>
      </c>
      <c r="AQ14" s="18" t="str">
        <f t="shared" si="24"/>
        <v/>
      </c>
      <c r="AR14" s="18" t="str">
        <f t="shared" si="25"/>
        <v>Readjusted weights: :30% :40% :30%    in this use case because      has/have NA values in it</v>
      </c>
      <c r="AS14" s="18" t="str">
        <f t="shared" si="26"/>
        <v/>
      </c>
      <c r="AT14" s="18" t="str">
        <f t="shared" si="27"/>
        <v/>
      </c>
      <c r="AU14" s="18" t="str">
        <f t="shared" si="28"/>
        <v/>
      </c>
      <c r="AV14" s="18" t="str">
        <f t="shared" si="29"/>
        <v/>
      </c>
      <c r="AW14" s="18" t="str">
        <f t="shared" si="30"/>
        <v/>
      </c>
      <c r="AX14" s="18">
        <f t="shared" si="31"/>
        <v>0</v>
      </c>
      <c r="AY14" s="18">
        <f t="shared" si="32"/>
        <v>0</v>
      </c>
    </row>
    <row r="15" spans="1:281">
      <c r="A15" s="27" t="str">
        <f>'Step 1 - Fill in Details'!C11</f>
        <v>UC5</v>
      </c>
      <c r="B15" s="9" t="b">
        <f>'Step 1 - Fill in Details'!D11</f>
        <v>0</v>
      </c>
      <c r="C15" s="21"/>
      <c r="D15" s="21"/>
      <c r="E15" s="21"/>
      <c r="F15" s="21"/>
      <c r="G15" s="21"/>
      <c r="H15" s="22"/>
      <c r="I15" s="21"/>
      <c r="J15" s="21"/>
      <c r="K15" s="21"/>
      <c r="L15" s="21"/>
      <c r="M15" s="21"/>
      <c r="N15" s="17"/>
      <c r="O15" s="83">
        <f t="shared" si="4"/>
        <v>0</v>
      </c>
      <c r="P15" s="84">
        <f t="shared" si="5"/>
        <v>0</v>
      </c>
      <c r="Q15" s="18" cm="1">
        <f t="array" aca="1" ref="Q15" ca="1">P15+O15+(RAND()*0.00000000000001+1/ROW(5:5)*0.000001)</f>
        <v>2.000000082559626E-7</v>
      </c>
      <c r="R15" s="18" t="b">
        <f t="shared" si="0"/>
        <v>1</v>
      </c>
      <c r="S15" s="18" cm="1">
        <f t="array" ref="S15">SUMPRODUCT(($R$11:R15)*1)</f>
        <v>3</v>
      </c>
      <c r="U15" s="30" t="b">
        <f t="shared" si="6"/>
        <v>1</v>
      </c>
      <c r="V15" s="30" cm="1">
        <f t="array" ref="V15">SUMPRODUCT(($U$10:U15)*1)</f>
        <v>3</v>
      </c>
      <c r="W15" s="30"/>
      <c r="X15" s="30" cm="1">
        <f t="array" ref="X15">SUMPRODUCT($I$10:$M$10,(I15:M15&lt;&gt;"NA")*1)</f>
        <v>1</v>
      </c>
      <c r="Y15" s="30">
        <f t="shared" si="7"/>
        <v>0.3</v>
      </c>
      <c r="Z15" s="30">
        <f t="shared" si="8"/>
        <v>0.4</v>
      </c>
      <c r="AA15" s="30">
        <f t="shared" si="9"/>
        <v>0.3</v>
      </c>
      <c r="AB15" s="30">
        <f t="shared" si="10"/>
        <v>0</v>
      </c>
      <c r="AC15" s="30">
        <f t="shared" si="11"/>
        <v>0</v>
      </c>
      <c r="AD15" s="30" t="str">
        <f t="shared" si="12"/>
        <v/>
      </c>
      <c r="AE15" s="30" t="str">
        <f t="shared" si="13"/>
        <v>Readjusted weights: :30% :40% :30%    in this use case because      has/have NA values in it</v>
      </c>
      <c r="AF15" s="30" t="str">
        <f t="shared" si="14"/>
        <v/>
      </c>
      <c r="AG15" s="30" t="str">
        <f t="shared" si="15"/>
        <v/>
      </c>
      <c r="AH15" s="30" t="str">
        <f t="shared" si="16"/>
        <v/>
      </c>
      <c r="AI15" s="30" t="str">
        <f t="shared" si="17"/>
        <v/>
      </c>
      <c r="AJ15" s="30" t="str">
        <f t="shared" si="18"/>
        <v/>
      </c>
      <c r="AK15" s="18" cm="1">
        <f t="array" ref="AK15">SUMPRODUCT($C$10:$G$10,(C15:G15&lt;&gt;"NA")*1)</f>
        <v>1</v>
      </c>
      <c r="AL15" s="18">
        <f t="shared" si="19"/>
        <v>0.3</v>
      </c>
      <c r="AM15" s="18">
        <f t="shared" si="20"/>
        <v>0.4</v>
      </c>
      <c r="AN15" s="18">
        <f t="shared" si="21"/>
        <v>0.3</v>
      </c>
      <c r="AO15" s="18">
        <f t="shared" si="22"/>
        <v>0</v>
      </c>
      <c r="AP15" s="18">
        <f t="shared" si="23"/>
        <v>0</v>
      </c>
      <c r="AQ15" s="18" t="str">
        <f t="shared" si="24"/>
        <v/>
      </c>
      <c r="AR15" s="18" t="str">
        <f t="shared" si="25"/>
        <v>Readjusted weights: :30% :40% :30%    in this use case because      has/have NA values in it</v>
      </c>
      <c r="AS15" s="18" t="str">
        <f t="shared" si="26"/>
        <v/>
      </c>
      <c r="AT15" s="18" t="str">
        <f t="shared" si="27"/>
        <v/>
      </c>
      <c r="AU15" s="18" t="str">
        <f t="shared" si="28"/>
        <v/>
      </c>
      <c r="AV15" s="18" t="str">
        <f t="shared" si="29"/>
        <v/>
      </c>
      <c r="AW15" s="18" t="str">
        <f t="shared" si="30"/>
        <v/>
      </c>
      <c r="AX15" s="18">
        <f t="shared" si="31"/>
        <v>0</v>
      </c>
      <c r="AY15" s="18">
        <f t="shared" si="32"/>
        <v>0</v>
      </c>
    </row>
    <row r="16" spans="1:281">
      <c r="A16" s="27" t="str">
        <f>'Step 1 - Fill in Details'!C12</f>
        <v>UC6</v>
      </c>
      <c r="B16" s="9" t="b">
        <f>'Step 1 - Fill in Details'!D12</f>
        <v>0</v>
      </c>
      <c r="C16" s="21"/>
      <c r="D16" s="21"/>
      <c r="E16" s="21"/>
      <c r="F16" s="21"/>
      <c r="G16" s="21"/>
      <c r="H16" s="22"/>
      <c r="I16" s="21"/>
      <c r="J16" s="21"/>
      <c r="K16" s="21"/>
      <c r="L16" s="21"/>
      <c r="M16" s="21"/>
      <c r="N16" s="17"/>
      <c r="O16" s="83">
        <f t="shared" si="4"/>
        <v>0</v>
      </c>
      <c r="P16" s="84">
        <f t="shared" si="5"/>
        <v>0</v>
      </c>
      <c r="Q16" s="18" cm="1">
        <f t="array" aca="1" ref="Q16" ca="1">P16+O16+(RAND()*0.00000000000001+1/ROW(6:6)*0.000001)</f>
        <v>1.6666667043270791E-7</v>
      </c>
      <c r="R16" s="18" t="b">
        <f t="shared" si="0"/>
        <v>1</v>
      </c>
      <c r="S16" s="18" cm="1">
        <f t="array" ref="S16">SUMPRODUCT(($R$11:R16)*1)</f>
        <v>4</v>
      </c>
      <c r="U16" s="30" t="b">
        <f t="shared" si="6"/>
        <v>1</v>
      </c>
      <c r="V16" s="30" cm="1">
        <f t="array" ref="V16">SUMPRODUCT(($U$10:U16)*1)</f>
        <v>4</v>
      </c>
      <c r="W16" s="30"/>
      <c r="X16" s="30" cm="1">
        <f t="array" ref="X16">SUMPRODUCT($I$10:$M$10,(I16:M16&lt;&gt;"NA")*1)</f>
        <v>1</v>
      </c>
      <c r="Y16" s="30">
        <f t="shared" si="7"/>
        <v>0.3</v>
      </c>
      <c r="Z16" s="30">
        <f t="shared" si="8"/>
        <v>0.4</v>
      </c>
      <c r="AA16" s="30">
        <f t="shared" si="9"/>
        <v>0.3</v>
      </c>
      <c r="AB16" s="30">
        <f t="shared" si="10"/>
        <v>0</v>
      </c>
      <c r="AC16" s="30">
        <f t="shared" si="11"/>
        <v>0</v>
      </c>
      <c r="AD16" s="30" t="str">
        <f t="shared" si="12"/>
        <v/>
      </c>
      <c r="AE16" s="30" t="str">
        <f t="shared" si="13"/>
        <v>Readjusted weights: :30% :40% :30%    in this use case because      has/have NA values in it</v>
      </c>
      <c r="AF16" s="30" t="str">
        <f t="shared" si="14"/>
        <v/>
      </c>
      <c r="AG16" s="30" t="str">
        <f t="shared" si="15"/>
        <v/>
      </c>
      <c r="AH16" s="30" t="str">
        <f t="shared" si="16"/>
        <v/>
      </c>
      <c r="AI16" s="30" t="str">
        <f t="shared" si="17"/>
        <v/>
      </c>
      <c r="AJ16" s="30" t="str">
        <f t="shared" si="18"/>
        <v/>
      </c>
      <c r="AK16" s="18" cm="1">
        <f t="array" ref="AK16">SUMPRODUCT($C$10:$G$10,(C16:G16&lt;&gt;"NA")*1)</f>
        <v>1</v>
      </c>
      <c r="AL16" s="18">
        <f t="shared" si="19"/>
        <v>0.3</v>
      </c>
      <c r="AM16" s="18">
        <f t="shared" si="20"/>
        <v>0.4</v>
      </c>
      <c r="AN16" s="18">
        <f t="shared" si="21"/>
        <v>0.3</v>
      </c>
      <c r="AO16" s="18">
        <f t="shared" si="22"/>
        <v>0</v>
      </c>
      <c r="AP16" s="18">
        <f t="shared" si="23"/>
        <v>0</v>
      </c>
      <c r="AQ16" s="18" t="str">
        <f t="shared" si="24"/>
        <v/>
      </c>
      <c r="AR16" s="18" t="str">
        <f t="shared" si="25"/>
        <v>Readjusted weights: :30% :40% :30%    in this use case because      has/have NA values in it</v>
      </c>
      <c r="AS16" s="18" t="str">
        <f t="shared" si="26"/>
        <v/>
      </c>
      <c r="AT16" s="18" t="str">
        <f t="shared" si="27"/>
        <v/>
      </c>
      <c r="AU16" s="18" t="str">
        <f t="shared" si="28"/>
        <v/>
      </c>
      <c r="AV16" s="18" t="str">
        <f t="shared" si="29"/>
        <v/>
      </c>
      <c r="AW16" s="18" t="str">
        <f t="shared" si="30"/>
        <v/>
      </c>
      <c r="AX16" s="18">
        <f t="shared" si="31"/>
        <v>0</v>
      </c>
      <c r="AY16" s="18">
        <f t="shared" si="32"/>
        <v>0</v>
      </c>
    </row>
    <row r="17" spans="1:51">
      <c r="A17" s="27" t="str">
        <f>'Step 1 - Fill in Details'!C13</f>
        <v>UC7</v>
      </c>
      <c r="B17" s="9" t="b">
        <f>'Step 1 - Fill in Details'!D13</f>
        <v>0</v>
      </c>
      <c r="C17" s="21"/>
      <c r="D17" s="21"/>
      <c r="E17" s="21"/>
      <c r="F17" s="21"/>
      <c r="G17" s="21"/>
      <c r="H17" s="22"/>
      <c r="I17" s="21"/>
      <c r="J17" s="21"/>
      <c r="K17" s="21"/>
      <c r="L17" s="21"/>
      <c r="M17" s="21"/>
      <c r="N17" s="17"/>
      <c r="O17" s="83">
        <f t="shared" si="4"/>
        <v>0</v>
      </c>
      <c r="P17" s="84">
        <f t="shared" si="5"/>
        <v>0</v>
      </c>
      <c r="Q17" s="18" cm="1">
        <f t="array" aca="1" ref="Q17" ca="1">P17+O17+(RAND()*0.00000000000001+1/ROW(7:7)*0.000001)</f>
        <v>1.428571438161693E-7</v>
      </c>
      <c r="R17" s="18" t="b">
        <f t="shared" si="0"/>
        <v>1</v>
      </c>
      <c r="S17" s="18" cm="1">
        <f t="array" ref="S17">SUMPRODUCT(($R$11:R17)*1)</f>
        <v>5</v>
      </c>
      <c r="U17" s="30" t="b">
        <f t="shared" si="6"/>
        <v>1</v>
      </c>
      <c r="V17" s="30" cm="1">
        <f t="array" ref="V17">SUMPRODUCT(($U$10:U17)*1)</f>
        <v>5</v>
      </c>
      <c r="W17" s="30"/>
      <c r="X17" s="30" cm="1">
        <f t="array" ref="X17">SUMPRODUCT($I$10:$M$10,(I17:M17&lt;&gt;"NA")*1)</f>
        <v>1</v>
      </c>
      <c r="Y17" s="30">
        <f t="shared" si="7"/>
        <v>0.3</v>
      </c>
      <c r="Z17" s="30">
        <f t="shared" si="8"/>
        <v>0.4</v>
      </c>
      <c r="AA17" s="30">
        <f t="shared" si="9"/>
        <v>0.3</v>
      </c>
      <c r="AB17" s="30">
        <f t="shared" si="10"/>
        <v>0</v>
      </c>
      <c r="AC17" s="30">
        <f t="shared" si="11"/>
        <v>0</v>
      </c>
      <c r="AD17" s="30" t="str">
        <f t="shared" si="12"/>
        <v/>
      </c>
      <c r="AE17" s="30" t="str">
        <f t="shared" si="13"/>
        <v>Readjusted weights: :30% :40% :30%    in this use case because      has/have NA values in it</v>
      </c>
      <c r="AF17" s="30" t="str">
        <f t="shared" si="14"/>
        <v/>
      </c>
      <c r="AG17" s="30" t="str">
        <f t="shared" si="15"/>
        <v/>
      </c>
      <c r="AH17" s="30" t="str">
        <f t="shared" si="16"/>
        <v/>
      </c>
      <c r="AI17" s="30" t="str">
        <f t="shared" si="17"/>
        <v/>
      </c>
      <c r="AJ17" s="30" t="str">
        <f t="shared" si="18"/>
        <v/>
      </c>
      <c r="AK17" s="18" cm="1">
        <f t="array" ref="AK17">SUMPRODUCT($C$10:$G$10,(C17:G17&lt;&gt;"NA")*1)</f>
        <v>1</v>
      </c>
      <c r="AL17" s="18">
        <f t="shared" si="19"/>
        <v>0.3</v>
      </c>
      <c r="AM17" s="18">
        <f t="shared" si="20"/>
        <v>0.4</v>
      </c>
      <c r="AN17" s="18">
        <f t="shared" si="21"/>
        <v>0.3</v>
      </c>
      <c r="AO17" s="18">
        <f t="shared" si="22"/>
        <v>0</v>
      </c>
      <c r="AP17" s="18">
        <f t="shared" si="23"/>
        <v>0</v>
      </c>
      <c r="AQ17" s="18" t="str">
        <f t="shared" si="24"/>
        <v/>
      </c>
      <c r="AR17" s="18" t="str">
        <f t="shared" si="25"/>
        <v>Readjusted weights: :30% :40% :30%    in this use case because      has/have NA values in it</v>
      </c>
      <c r="AS17" s="18" t="str">
        <f t="shared" si="26"/>
        <v/>
      </c>
      <c r="AT17" s="18" t="str">
        <f t="shared" si="27"/>
        <v/>
      </c>
      <c r="AU17" s="18" t="str">
        <f t="shared" si="28"/>
        <v/>
      </c>
      <c r="AV17" s="18" t="str">
        <f t="shared" si="29"/>
        <v/>
      </c>
      <c r="AW17" s="18" t="str">
        <f t="shared" si="30"/>
        <v/>
      </c>
      <c r="AX17" s="18">
        <f t="shared" si="31"/>
        <v>0</v>
      </c>
      <c r="AY17" s="18">
        <f t="shared" si="32"/>
        <v>0</v>
      </c>
    </row>
    <row r="18" spans="1:51">
      <c r="A18" s="27" t="str">
        <f>'Step 1 - Fill in Details'!C14</f>
        <v>UC8</v>
      </c>
      <c r="B18" s="9" t="b">
        <f>'Step 1 - Fill in Details'!D14</f>
        <v>0</v>
      </c>
      <c r="C18" s="21"/>
      <c r="D18" s="21"/>
      <c r="E18" s="21"/>
      <c r="F18" s="21"/>
      <c r="G18" s="21"/>
      <c r="H18" s="22"/>
      <c r="I18" s="21"/>
      <c r="J18" s="21"/>
      <c r="K18" s="21"/>
      <c r="L18" s="21"/>
      <c r="M18" s="21"/>
      <c r="N18" s="17"/>
      <c r="O18" s="83">
        <f t="shared" si="4"/>
        <v>0</v>
      </c>
      <c r="P18" s="84">
        <f t="shared" si="5"/>
        <v>0</v>
      </c>
      <c r="Q18" s="18" cm="1">
        <f t="array" aca="1" ref="Q18" ca="1">P18+O18+(RAND()*0.00000000000001+1/ROW(8:8)*0.000001)</f>
        <v>1.2500000794287051E-7</v>
      </c>
      <c r="R18" s="18" t="b">
        <f t="shared" si="0"/>
        <v>1</v>
      </c>
      <c r="S18" s="18" cm="1">
        <f t="array" ref="S18">SUMPRODUCT(($R$11:R18)*1)</f>
        <v>6</v>
      </c>
      <c r="U18" s="30" t="b">
        <f t="shared" si="6"/>
        <v>1</v>
      </c>
      <c r="V18" s="30" cm="1">
        <f t="array" ref="V18">SUMPRODUCT(($U$10:U18)*1)</f>
        <v>6</v>
      </c>
      <c r="W18" s="30"/>
      <c r="X18" s="30" cm="1">
        <f t="array" ref="X18">SUMPRODUCT($I$10:$M$10,(I18:M18&lt;&gt;"NA")*1)</f>
        <v>1</v>
      </c>
      <c r="Y18" s="30">
        <f t="shared" si="7"/>
        <v>0.3</v>
      </c>
      <c r="Z18" s="30">
        <f t="shared" si="8"/>
        <v>0.4</v>
      </c>
      <c r="AA18" s="30">
        <f t="shared" si="9"/>
        <v>0.3</v>
      </c>
      <c r="AB18" s="30">
        <f t="shared" si="10"/>
        <v>0</v>
      </c>
      <c r="AC18" s="30">
        <f t="shared" si="11"/>
        <v>0</v>
      </c>
      <c r="AD18" s="30" t="str">
        <f t="shared" si="12"/>
        <v/>
      </c>
      <c r="AE18" s="30" t="str">
        <f t="shared" si="13"/>
        <v>Readjusted weights: :30% :40% :30%    in this use case because      has/have NA values in it</v>
      </c>
      <c r="AF18" s="30" t="str">
        <f t="shared" si="14"/>
        <v/>
      </c>
      <c r="AG18" s="30" t="str">
        <f t="shared" si="15"/>
        <v/>
      </c>
      <c r="AH18" s="30" t="str">
        <f t="shared" si="16"/>
        <v/>
      </c>
      <c r="AI18" s="30" t="str">
        <f t="shared" si="17"/>
        <v/>
      </c>
      <c r="AJ18" s="30" t="str">
        <f t="shared" si="18"/>
        <v/>
      </c>
      <c r="AK18" s="18" cm="1">
        <f t="array" ref="AK18">SUMPRODUCT($C$10:$G$10,(C18:G18&lt;&gt;"NA")*1)</f>
        <v>1</v>
      </c>
      <c r="AL18" s="18">
        <f t="shared" si="19"/>
        <v>0.3</v>
      </c>
      <c r="AM18" s="18">
        <f t="shared" si="20"/>
        <v>0.4</v>
      </c>
      <c r="AN18" s="18">
        <f t="shared" si="21"/>
        <v>0.3</v>
      </c>
      <c r="AO18" s="18">
        <f t="shared" si="22"/>
        <v>0</v>
      </c>
      <c r="AP18" s="18">
        <f t="shared" si="23"/>
        <v>0</v>
      </c>
      <c r="AQ18" s="18" t="str">
        <f t="shared" si="24"/>
        <v/>
      </c>
      <c r="AR18" s="18" t="str">
        <f t="shared" si="25"/>
        <v>Readjusted weights: :30% :40% :30%    in this use case because      has/have NA values in it</v>
      </c>
      <c r="AS18" s="18" t="str">
        <f t="shared" si="26"/>
        <v/>
      </c>
      <c r="AT18" s="18" t="str">
        <f t="shared" si="27"/>
        <v/>
      </c>
      <c r="AU18" s="18" t="str">
        <f t="shared" si="28"/>
        <v/>
      </c>
      <c r="AV18" s="18" t="str">
        <f t="shared" si="29"/>
        <v/>
      </c>
      <c r="AW18" s="18" t="str">
        <f t="shared" si="30"/>
        <v/>
      </c>
      <c r="AX18" s="18">
        <f t="shared" si="31"/>
        <v>0</v>
      </c>
      <c r="AY18" s="18">
        <f t="shared" si="32"/>
        <v>0</v>
      </c>
    </row>
    <row r="19" spans="1:51">
      <c r="A19" s="27" t="str">
        <f>'Step 1 - Fill in Details'!C15</f>
        <v>UC9</v>
      </c>
      <c r="B19" s="9" t="b">
        <f>'Step 1 - Fill in Details'!D15</f>
        <v>0</v>
      </c>
      <c r="C19" s="21"/>
      <c r="D19" s="21"/>
      <c r="E19" s="21"/>
      <c r="F19" s="21"/>
      <c r="G19" s="21"/>
      <c r="H19" s="22"/>
      <c r="I19" s="21"/>
      <c r="J19" s="21"/>
      <c r="K19" s="21"/>
      <c r="L19" s="21"/>
      <c r="M19" s="21"/>
      <c r="N19" s="17"/>
      <c r="O19" s="83">
        <f t="shared" si="4"/>
        <v>0</v>
      </c>
      <c r="P19" s="84">
        <f t="shared" si="5"/>
        <v>0</v>
      </c>
      <c r="Q19" s="18" cm="1">
        <f t="array" aca="1" ref="Q19" ca="1">P19+O19+(RAND()*0.00000000000001+1/ROW(9:9)*0.000001)</f>
        <v>1.1111111210726553E-7</v>
      </c>
      <c r="R19" s="18" t="b">
        <f t="shared" si="0"/>
        <v>1</v>
      </c>
      <c r="S19" s="18" cm="1">
        <f t="array" ref="S19">SUMPRODUCT(($R$11:R19)*1)</f>
        <v>7</v>
      </c>
      <c r="U19" s="30" t="b">
        <f t="shared" si="6"/>
        <v>1</v>
      </c>
      <c r="V19" s="30" cm="1">
        <f t="array" ref="V19">SUMPRODUCT(($U$10:U19)*1)</f>
        <v>7</v>
      </c>
      <c r="W19" s="30"/>
      <c r="X19" s="30" cm="1">
        <f t="array" ref="X19">SUMPRODUCT($I$10:$M$10,(I19:M19&lt;&gt;"NA")*1)</f>
        <v>1</v>
      </c>
      <c r="Y19" s="30">
        <f t="shared" si="7"/>
        <v>0.3</v>
      </c>
      <c r="Z19" s="30">
        <f t="shared" si="8"/>
        <v>0.4</v>
      </c>
      <c r="AA19" s="30">
        <f t="shared" si="9"/>
        <v>0.3</v>
      </c>
      <c r="AB19" s="30">
        <f t="shared" si="10"/>
        <v>0</v>
      </c>
      <c r="AC19" s="30">
        <f t="shared" si="11"/>
        <v>0</v>
      </c>
      <c r="AD19" s="30" t="str">
        <f t="shared" si="12"/>
        <v/>
      </c>
      <c r="AE19" s="30" t="str">
        <f t="shared" si="13"/>
        <v>Readjusted weights: :30% :40% :30%    in this use case because      has/have NA values in it</v>
      </c>
      <c r="AF19" s="30" t="str">
        <f t="shared" si="14"/>
        <v/>
      </c>
      <c r="AG19" s="30" t="str">
        <f t="shared" si="15"/>
        <v/>
      </c>
      <c r="AH19" s="30" t="str">
        <f t="shared" si="16"/>
        <v/>
      </c>
      <c r="AI19" s="30" t="str">
        <f t="shared" si="17"/>
        <v/>
      </c>
      <c r="AJ19" s="30" t="str">
        <f t="shared" si="18"/>
        <v/>
      </c>
      <c r="AK19" s="18" cm="1">
        <f t="array" ref="AK19">SUMPRODUCT($C$10:$G$10,(C19:G19&lt;&gt;"NA")*1)</f>
        <v>1</v>
      </c>
      <c r="AL19" s="18">
        <f t="shared" si="19"/>
        <v>0.3</v>
      </c>
      <c r="AM19" s="18">
        <f t="shared" si="20"/>
        <v>0.4</v>
      </c>
      <c r="AN19" s="18">
        <f t="shared" si="21"/>
        <v>0.3</v>
      </c>
      <c r="AO19" s="18">
        <f t="shared" si="22"/>
        <v>0</v>
      </c>
      <c r="AP19" s="18">
        <f t="shared" si="23"/>
        <v>0</v>
      </c>
      <c r="AQ19" s="18" t="str">
        <f t="shared" si="24"/>
        <v/>
      </c>
      <c r="AR19" s="18" t="str">
        <f t="shared" si="25"/>
        <v>Readjusted weights: :30% :40% :30%    in this use case because      has/have NA values in it</v>
      </c>
      <c r="AS19" s="18" t="str">
        <f t="shared" si="26"/>
        <v/>
      </c>
      <c r="AT19" s="18" t="str">
        <f t="shared" si="27"/>
        <v/>
      </c>
      <c r="AU19" s="18" t="str">
        <f t="shared" si="28"/>
        <v/>
      </c>
      <c r="AV19" s="18" t="str">
        <f t="shared" si="29"/>
        <v/>
      </c>
      <c r="AW19" s="18" t="str">
        <f t="shared" si="30"/>
        <v/>
      </c>
      <c r="AX19" s="18">
        <f t="shared" si="31"/>
        <v>0</v>
      </c>
      <c r="AY19" s="18">
        <f t="shared" si="32"/>
        <v>0</v>
      </c>
    </row>
    <row r="20" spans="1:51">
      <c r="A20" s="27" t="str">
        <f>'Step 1 - Fill in Details'!C16</f>
        <v>UC10</v>
      </c>
      <c r="B20" s="9" t="b">
        <f>'Step 1 - Fill in Details'!D16</f>
        <v>0</v>
      </c>
      <c r="C20" s="21"/>
      <c r="D20" s="21"/>
      <c r="E20" s="21"/>
      <c r="F20" s="21"/>
      <c r="G20" s="21"/>
      <c r="H20" s="22"/>
      <c r="I20" s="21"/>
      <c r="J20" s="21"/>
      <c r="K20" s="21"/>
      <c r="L20" s="21"/>
      <c r="M20" s="21"/>
      <c r="N20" s="17"/>
      <c r="O20" s="83">
        <f t="shared" si="4"/>
        <v>0</v>
      </c>
      <c r="P20" s="84">
        <f t="shared" si="5"/>
        <v>0</v>
      </c>
      <c r="Q20" s="18" cm="1">
        <f t="array" aca="1" ref="Q20" ca="1">P20+O20+(RAND()*0.00000000000001+1/ROW(10:10)*0.000001)</f>
        <v>1.0000000016700863E-7</v>
      </c>
      <c r="R20" s="18" t="b">
        <f t="shared" si="0"/>
        <v>1</v>
      </c>
      <c r="S20" s="18" cm="1">
        <f t="array" ref="S20">SUMPRODUCT(($R$11:R20)*1)</f>
        <v>8</v>
      </c>
      <c r="U20" s="30" t="b">
        <f t="shared" si="6"/>
        <v>1</v>
      </c>
      <c r="V20" s="30" cm="1">
        <f t="array" ref="V20">SUMPRODUCT(($U$10:U20)*1)</f>
        <v>8</v>
      </c>
      <c r="W20" s="30"/>
      <c r="X20" s="30" cm="1">
        <f t="array" ref="X20">SUMPRODUCT($I$10:$M$10,(I20:M20&lt;&gt;"NA")*1)</f>
        <v>1</v>
      </c>
      <c r="Y20" s="30">
        <f t="shared" si="7"/>
        <v>0.3</v>
      </c>
      <c r="Z20" s="30">
        <f t="shared" si="8"/>
        <v>0.4</v>
      </c>
      <c r="AA20" s="30">
        <f t="shared" si="9"/>
        <v>0.3</v>
      </c>
      <c r="AB20" s="30">
        <f t="shared" si="10"/>
        <v>0</v>
      </c>
      <c r="AC20" s="30">
        <f t="shared" si="11"/>
        <v>0</v>
      </c>
      <c r="AD20" s="30" t="str">
        <f t="shared" si="12"/>
        <v/>
      </c>
      <c r="AE20" s="30" t="str">
        <f t="shared" si="13"/>
        <v>Readjusted weights: :30% :40% :30%    in this use case because      has/have NA values in it</v>
      </c>
      <c r="AF20" s="30" t="str">
        <f t="shared" si="14"/>
        <v/>
      </c>
      <c r="AG20" s="30" t="str">
        <f t="shared" si="15"/>
        <v/>
      </c>
      <c r="AH20" s="30" t="str">
        <f t="shared" si="16"/>
        <v/>
      </c>
      <c r="AI20" s="30" t="str">
        <f t="shared" si="17"/>
        <v/>
      </c>
      <c r="AJ20" s="30" t="str">
        <f t="shared" si="18"/>
        <v/>
      </c>
      <c r="AK20" s="18" cm="1">
        <f t="array" ref="AK20">SUMPRODUCT($C$10:$G$10,(C20:G20&lt;&gt;"NA")*1)</f>
        <v>1</v>
      </c>
      <c r="AL20" s="18">
        <f t="shared" si="19"/>
        <v>0.3</v>
      </c>
      <c r="AM20" s="18">
        <f t="shared" si="20"/>
        <v>0.4</v>
      </c>
      <c r="AN20" s="18">
        <f t="shared" si="21"/>
        <v>0.3</v>
      </c>
      <c r="AO20" s="18">
        <f t="shared" si="22"/>
        <v>0</v>
      </c>
      <c r="AP20" s="18">
        <f t="shared" si="23"/>
        <v>0</v>
      </c>
      <c r="AQ20" s="18" t="str">
        <f t="shared" si="24"/>
        <v/>
      </c>
      <c r="AR20" s="18" t="str">
        <f t="shared" si="25"/>
        <v>Readjusted weights: :30% :40% :30%    in this use case because      has/have NA values in it</v>
      </c>
      <c r="AS20" s="18" t="str">
        <f t="shared" si="26"/>
        <v/>
      </c>
      <c r="AT20" s="18" t="str">
        <f t="shared" si="27"/>
        <v/>
      </c>
      <c r="AU20" s="18" t="str">
        <f t="shared" si="28"/>
        <v/>
      </c>
      <c r="AV20" s="18" t="str">
        <f t="shared" si="29"/>
        <v/>
      </c>
      <c r="AW20" s="18" t="str">
        <f t="shared" si="30"/>
        <v/>
      </c>
      <c r="AX20" s="18">
        <f t="shared" si="31"/>
        <v>0</v>
      </c>
      <c r="AY20" s="18">
        <f t="shared" si="32"/>
        <v>0</v>
      </c>
    </row>
    <row r="21" spans="1:51">
      <c r="A21" s="27" t="str">
        <f>'Step 1 - Fill in Details'!C17</f>
        <v>UC11</v>
      </c>
      <c r="B21" s="9" t="b">
        <f>'Step 1 - Fill in Details'!D17</f>
        <v>0</v>
      </c>
      <c r="C21" s="21"/>
      <c r="D21" s="21"/>
      <c r="E21" s="21"/>
      <c r="F21" s="21"/>
      <c r="G21" s="21"/>
      <c r="H21" s="22"/>
      <c r="I21" s="21"/>
      <c r="J21" s="21"/>
      <c r="K21" s="21"/>
      <c r="L21" s="21"/>
      <c r="M21" s="21"/>
      <c r="N21" s="17"/>
      <c r="O21" s="83">
        <f t="shared" si="4"/>
        <v>0</v>
      </c>
      <c r="P21" s="84">
        <f t="shared" si="5"/>
        <v>0</v>
      </c>
      <c r="Q21" s="18" cm="1">
        <f t="array" aca="1" ref="Q21" ca="1">P21+O21+(RAND()*0.00000000000001+1/ROW(11:11)*0.000001)</f>
        <v>9.0909094486888627E-8</v>
      </c>
      <c r="R21" s="18" t="b">
        <f t="shared" si="0"/>
        <v>1</v>
      </c>
      <c r="S21" s="18" cm="1">
        <f t="array" ref="S21">SUMPRODUCT(($R$11:R21)*1)</f>
        <v>9</v>
      </c>
      <c r="U21" s="30" t="b">
        <f t="shared" si="6"/>
        <v>1</v>
      </c>
      <c r="V21" s="30" cm="1">
        <f t="array" ref="V21">SUMPRODUCT(($U$10:U21)*1)</f>
        <v>9</v>
      </c>
      <c r="W21" s="30"/>
      <c r="X21" s="30" cm="1">
        <f t="array" ref="X21">SUMPRODUCT($I$10:$M$10,(I21:M21&lt;&gt;"NA")*1)</f>
        <v>1</v>
      </c>
      <c r="Y21" s="30">
        <f t="shared" si="7"/>
        <v>0.3</v>
      </c>
      <c r="Z21" s="30">
        <f t="shared" si="8"/>
        <v>0.4</v>
      </c>
      <c r="AA21" s="30">
        <f t="shared" si="9"/>
        <v>0.3</v>
      </c>
      <c r="AB21" s="30">
        <f t="shared" si="10"/>
        <v>0</v>
      </c>
      <c r="AC21" s="30">
        <f t="shared" si="11"/>
        <v>0</v>
      </c>
      <c r="AD21" s="30" t="str">
        <f t="shared" si="12"/>
        <v/>
      </c>
      <c r="AE21" s="30" t="str">
        <f t="shared" si="13"/>
        <v>Readjusted weights: :30% :40% :30%    in this use case because      has/have NA values in it</v>
      </c>
      <c r="AF21" s="30" t="str">
        <f t="shared" si="14"/>
        <v/>
      </c>
      <c r="AG21" s="30" t="str">
        <f t="shared" si="15"/>
        <v/>
      </c>
      <c r="AH21" s="30" t="str">
        <f t="shared" si="16"/>
        <v/>
      </c>
      <c r="AI21" s="30" t="str">
        <f t="shared" si="17"/>
        <v/>
      </c>
      <c r="AJ21" s="30" t="str">
        <f t="shared" si="18"/>
        <v/>
      </c>
      <c r="AK21" s="18" cm="1">
        <f t="array" ref="AK21">SUMPRODUCT($C$10:$G$10,(C21:G21&lt;&gt;"NA")*1)</f>
        <v>1</v>
      </c>
      <c r="AL21" s="18">
        <f t="shared" si="19"/>
        <v>0.3</v>
      </c>
      <c r="AM21" s="18">
        <f t="shared" si="20"/>
        <v>0.4</v>
      </c>
      <c r="AN21" s="18">
        <f t="shared" si="21"/>
        <v>0.3</v>
      </c>
      <c r="AO21" s="18">
        <f t="shared" si="22"/>
        <v>0</v>
      </c>
      <c r="AP21" s="18">
        <f t="shared" si="23"/>
        <v>0</v>
      </c>
      <c r="AQ21" s="18" t="str">
        <f t="shared" si="24"/>
        <v/>
      </c>
      <c r="AR21" s="18" t="str">
        <f t="shared" si="25"/>
        <v>Readjusted weights: :30% :40% :30%    in this use case because      has/have NA values in it</v>
      </c>
      <c r="AS21" s="18" t="str">
        <f t="shared" si="26"/>
        <v/>
      </c>
      <c r="AT21" s="18" t="str">
        <f t="shared" si="27"/>
        <v/>
      </c>
      <c r="AU21" s="18" t="str">
        <f t="shared" si="28"/>
        <v/>
      </c>
      <c r="AV21" s="18" t="str">
        <f t="shared" si="29"/>
        <v/>
      </c>
      <c r="AW21" s="18" t="str">
        <f t="shared" si="30"/>
        <v/>
      </c>
      <c r="AX21" s="18">
        <f t="shared" si="31"/>
        <v>0</v>
      </c>
      <c r="AY21" s="18">
        <f t="shared" si="32"/>
        <v>0</v>
      </c>
    </row>
    <row r="22" spans="1:51">
      <c r="A22" s="27" t="str">
        <f>'Step 1 - Fill in Details'!C18</f>
        <v>UC12</v>
      </c>
      <c r="B22" s="9" t="b">
        <f>'Step 1 - Fill in Details'!D18</f>
        <v>0</v>
      </c>
      <c r="C22" s="21"/>
      <c r="D22" s="21"/>
      <c r="E22" s="21"/>
      <c r="F22" s="21"/>
      <c r="G22" s="21"/>
      <c r="H22" s="22"/>
      <c r="I22" s="21"/>
      <c r="J22" s="21"/>
      <c r="K22" s="21"/>
      <c r="L22" s="21"/>
      <c r="M22" s="21"/>
      <c r="N22" s="17"/>
      <c r="O22" s="83">
        <f t="shared" si="4"/>
        <v>0</v>
      </c>
      <c r="P22" s="84">
        <f t="shared" si="5"/>
        <v>0</v>
      </c>
      <c r="Q22" s="18" cm="1">
        <f t="array" aca="1" ref="Q22" ca="1">P22+O22+(RAND()*0.00000000000001+1/ROW(12:12)*0.000001)</f>
        <v>8.3333334665633261E-8</v>
      </c>
      <c r="R22" s="18" t="b">
        <f t="shared" si="0"/>
        <v>1</v>
      </c>
      <c r="S22" s="18" cm="1">
        <f t="array" ref="S22">SUMPRODUCT(($R$11:R22)*1)</f>
        <v>10</v>
      </c>
      <c r="U22" s="30" t="b">
        <f t="shared" si="6"/>
        <v>1</v>
      </c>
      <c r="V22" s="30" cm="1">
        <f t="array" ref="V22">SUMPRODUCT(($U$10:U22)*1)</f>
        <v>10</v>
      </c>
      <c r="W22" s="30"/>
      <c r="X22" s="30" cm="1">
        <f t="array" ref="X22">SUMPRODUCT($I$10:$M$10,(I22:M22&lt;&gt;"NA")*1)</f>
        <v>1</v>
      </c>
      <c r="Y22" s="30">
        <f t="shared" si="7"/>
        <v>0.3</v>
      </c>
      <c r="Z22" s="30">
        <f t="shared" si="8"/>
        <v>0.4</v>
      </c>
      <c r="AA22" s="30">
        <f t="shared" si="9"/>
        <v>0.3</v>
      </c>
      <c r="AB22" s="30">
        <f t="shared" si="10"/>
        <v>0</v>
      </c>
      <c r="AC22" s="30">
        <f t="shared" si="11"/>
        <v>0</v>
      </c>
      <c r="AD22" s="30" t="str">
        <f t="shared" si="12"/>
        <v/>
      </c>
      <c r="AE22" s="30" t="str">
        <f t="shared" si="13"/>
        <v>Readjusted weights: :30% :40% :30%    in this use case because      has/have NA values in it</v>
      </c>
      <c r="AF22" s="30" t="str">
        <f t="shared" si="14"/>
        <v/>
      </c>
      <c r="AG22" s="30" t="str">
        <f t="shared" si="15"/>
        <v/>
      </c>
      <c r="AH22" s="30" t="str">
        <f t="shared" si="16"/>
        <v/>
      </c>
      <c r="AI22" s="30" t="str">
        <f t="shared" si="17"/>
        <v/>
      </c>
      <c r="AJ22" s="30" t="str">
        <f t="shared" si="18"/>
        <v/>
      </c>
      <c r="AK22" s="18" cm="1">
        <f t="array" ref="AK22">SUMPRODUCT($C$10:$G$10,(C22:G22&lt;&gt;"NA")*1)</f>
        <v>1</v>
      </c>
      <c r="AL22" s="18">
        <f t="shared" si="19"/>
        <v>0.3</v>
      </c>
      <c r="AM22" s="18">
        <f t="shared" si="20"/>
        <v>0.4</v>
      </c>
      <c r="AN22" s="18">
        <f t="shared" si="21"/>
        <v>0.3</v>
      </c>
      <c r="AO22" s="18">
        <f t="shared" si="22"/>
        <v>0</v>
      </c>
      <c r="AP22" s="18">
        <f t="shared" si="23"/>
        <v>0</v>
      </c>
      <c r="AQ22" s="18" t="str">
        <f t="shared" si="24"/>
        <v/>
      </c>
      <c r="AR22" s="18" t="str">
        <f t="shared" si="25"/>
        <v>Readjusted weights: :30% :40% :30%    in this use case because      has/have NA values in it</v>
      </c>
      <c r="AS22" s="18" t="str">
        <f t="shared" si="26"/>
        <v/>
      </c>
      <c r="AT22" s="18" t="str">
        <f t="shared" si="27"/>
        <v/>
      </c>
      <c r="AU22" s="18" t="str">
        <f t="shared" si="28"/>
        <v/>
      </c>
      <c r="AV22" s="18" t="str">
        <f t="shared" si="29"/>
        <v/>
      </c>
      <c r="AW22" s="18" t="str">
        <f t="shared" si="30"/>
        <v/>
      </c>
      <c r="AX22" s="18">
        <f t="shared" si="31"/>
        <v>0</v>
      </c>
      <c r="AY22" s="18">
        <f t="shared" si="32"/>
        <v>0</v>
      </c>
    </row>
    <row r="23" spans="1:51">
      <c r="A23" s="27" t="str">
        <f>'Step 1 - Fill in Details'!C19</f>
        <v>UC13</v>
      </c>
      <c r="B23" s="9" t="b">
        <f>'Step 1 - Fill in Details'!D19</f>
        <v>0</v>
      </c>
      <c r="C23" s="21"/>
      <c r="D23" s="21"/>
      <c r="E23" s="21"/>
      <c r="F23" s="21"/>
      <c r="G23" s="21"/>
      <c r="H23" s="22"/>
      <c r="I23" s="21"/>
      <c r="J23" s="21"/>
      <c r="K23" s="21"/>
      <c r="L23" s="21"/>
      <c r="M23" s="21"/>
      <c r="N23" s="17"/>
      <c r="O23" s="83">
        <f t="shared" si="4"/>
        <v>0</v>
      </c>
      <c r="P23" s="84">
        <f t="shared" si="5"/>
        <v>0</v>
      </c>
      <c r="Q23" s="18" cm="1">
        <f t="array" aca="1" ref="Q23" ca="1">P23+O23+(RAND()*0.00000000000001+1/ROW(13:13)*0.000001)</f>
        <v>7.6923084041551592E-8</v>
      </c>
      <c r="R23" s="18" t="b">
        <f t="shared" si="0"/>
        <v>1</v>
      </c>
      <c r="S23" s="18" cm="1">
        <f t="array" ref="S23">SUMPRODUCT(($R$11:R23)*1)</f>
        <v>11</v>
      </c>
      <c r="U23" s="30" t="b">
        <f t="shared" si="6"/>
        <v>1</v>
      </c>
      <c r="V23" s="30" cm="1">
        <f t="array" ref="V23">SUMPRODUCT(($U$10:U23)*1)</f>
        <v>11</v>
      </c>
      <c r="W23" s="30"/>
      <c r="X23" s="30" cm="1">
        <f t="array" ref="X23">SUMPRODUCT($I$10:$M$10,(I23:M23&lt;&gt;"NA")*1)</f>
        <v>1</v>
      </c>
      <c r="Y23" s="30">
        <f t="shared" si="7"/>
        <v>0.3</v>
      </c>
      <c r="Z23" s="30">
        <f t="shared" si="8"/>
        <v>0.4</v>
      </c>
      <c r="AA23" s="30">
        <f t="shared" si="9"/>
        <v>0.3</v>
      </c>
      <c r="AB23" s="30">
        <f t="shared" si="10"/>
        <v>0</v>
      </c>
      <c r="AC23" s="30">
        <f t="shared" si="11"/>
        <v>0</v>
      </c>
      <c r="AD23" s="30" t="str">
        <f t="shared" si="12"/>
        <v/>
      </c>
      <c r="AE23" s="30" t="str">
        <f t="shared" si="13"/>
        <v>Readjusted weights: :30% :40% :30%    in this use case because      has/have NA values in it</v>
      </c>
      <c r="AF23" s="30" t="str">
        <f t="shared" si="14"/>
        <v/>
      </c>
      <c r="AG23" s="30" t="str">
        <f t="shared" si="15"/>
        <v/>
      </c>
      <c r="AH23" s="30" t="str">
        <f t="shared" si="16"/>
        <v/>
      </c>
      <c r="AI23" s="30" t="str">
        <f t="shared" si="17"/>
        <v/>
      </c>
      <c r="AJ23" s="30" t="str">
        <f t="shared" si="18"/>
        <v/>
      </c>
      <c r="AK23" s="18" cm="1">
        <f t="array" ref="AK23">SUMPRODUCT($C$10:$G$10,(C23:G23&lt;&gt;"NA")*1)</f>
        <v>1</v>
      </c>
      <c r="AL23" s="18">
        <f t="shared" si="19"/>
        <v>0.3</v>
      </c>
      <c r="AM23" s="18">
        <f t="shared" si="20"/>
        <v>0.4</v>
      </c>
      <c r="AN23" s="18">
        <f t="shared" si="21"/>
        <v>0.3</v>
      </c>
      <c r="AO23" s="18">
        <f t="shared" si="22"/>
        <v>0</v>
      </c>
      <c r="AP23" s="18">
        <f t="shared" si="23"/>
        <v>0</v>
      </c>
      <c r="AQ23" s="18" t="str">
        <f t="shared" si="24"/>
        <v/>
      </c>
      <c r="AR23" s="18" t="str">
        <f t="shared" si="25"/>
        <v>Readjusted weights: :30% :40% :30%    in this use case because      has/have NA values in it</v>
      </c>
      <c r="AS23" s="18" t="str">
        <f t="shared" si="26"/>
        <v/>
      </c>
      <c r="AT23" s="18" t="str">
        <f t="shared" si="27"/>
        <v/>
      </c>
      <c r="AU23" s="18" t="str">
        <f t="shared" si="28"/>
        <v/>
      </c>
      <c r="AV23" s="18" t="str">
        <f t="shared" si="29"/>
        <v/>
      </c>
      <c r="AW23" s="18" t="str">
        <f t="shared" si="30"/>
        <v/>
      </c>
      <c r="AX23" s="18">
        <f t="shared" si="31"/>
        <v>0</v>
      </c>
      <c r="AY23" s="18">
        <f t="shared" si="32"/>
        <v>0</v>
      </c>
    </row>
    <row r="24" spans="1:51">
      <c r="A24" s="27" t="str">
        <f>'Step 1 - Fill in Details'!C20</f>
        <v>UC14</v>
      </c>
      <c r="B24" s="9" t="b">
        <f>'Step 1 - Fill in Details'!D20</f>
        <v>0</v>
      </c>
      <c r="C24" s="21"/>
      <c r="D24" s="21"/>
      <c r="E24" s="21"/>
      <c r="F24" s="21"/>
      <c r="G24" s="21"/>
      <c r="H24" s="22"/>
      <c r="I24" s="21"/>
      <c r="J24" s="21"/>
      <c r="K24" s="21"/>
      <c r="L24" s="21"/>
      <c r="M24" s="21"/>
      <c r="N24" s="17"/>
      <c r="O24" s="83">
        <f t="shared" si="4"/>
        <v>0</v>
      </c>
      <c r="P24" s="84">
        <f t="shared" si="5"/>
        <v>0</v>
      </c>
      <c r="Q24" s="18" cm="1">
        <f t="array" aca="1" ref="Q24" ca="1">P24+O24+(RAND()*0.00000000000001+1/ROW(14:14)*0.000001)</f>
        <v>7.1428572081035993E-8</v>
      </c>
      <c r="R24" s="18" t="b">
        <f t="shared" si="0"/>
        <v>1</v>
      </c>
      <c r="S24" s="18" cm="1">
        <f t="array" ref="S24">SUMPRODUCT(($R$11:R24)*1)</f>
        <v>12</v>
      </c>
      <c r="U24" s="30" t="b">
        <f t="shared" si="6"/>
        <v>1</v>
      </c>
      <c r="V24" s="30" cm="1">
        <f t="array" ref="V24">SUMPRODUCT(($U$10:U24)*1)</f>
        <v>12</v>
      </c>
      <c r="W24" s="30"/>
      <c r="X24" s="30" cm="1">
        <f t="array" ref="X24">SUMPRODUCT($I$10:$M$10,(I24:M24&lt;&gt;"NA")*1)</f>
        <v>1</v>
      </c>
      <c r="Y24" s="30">
        <f t="shared" si="7"/>
        <v>0.3</v>
      </c>
      <c r="Z24" s="30">
        <f t="shared" si="8"/>
        <v>0.4</v>
      </c>
      <c r="AA24" s="30">
        <f t="shared" si="9"/>
        <v>0.3</v>
      </c>
      <c r="AB24" s="30">
        <f t="shared" si="10"/>
        <v>0</v>
      </c>
      <c r="AC24" s="30">
        <f t="shared" si="11"/>
        <v>0</v>
      </c>
      <c r="AD24" s="30" t="str">
        <f t="shared" si="12"/>
        <v/>
      </c>
      <c r="AE24" s="30" t="str">
        <f t="shared" si="13"/>
        <v>Readjusted weights: :30% :40% :30%    in this use case because      has/have NA values in it</v>
      </c>
      <c r="AF24" s="30" t="str">
        <f t="shared" si="14"/>
        <v/>
      </c>
      <c r="AG24" s="30" t="str">
        <f t="shared" si="15"/>
        <v/>
      </c>
      <c r="AH24" s="30" t="str">
        <f t="shared" si="16"/>
        <v/>
      </c>
      <c r="AI24" s="30" t="str">
        <f t="shared" si="17"/>
        <v/>
      </c>
      <c r="AJ24" s="30" t="str">
        <f t="shared" si="18"/>
        <v/>
      </c>
      <c r="AK24" s="18" cm="1">
        <f t="array" ref="AK24">SUMPRODUCT($C$10:$G$10,(C24:G24&lt;&gt;"NA")*1)</f>
        <v>1</v>
      </c>
      <c r="AL24" s="18">
        <f t="shared" si="19"/>
        <v>0.3</v>
      </c>
      <c r="AM24" s="18">
        <f t="shared" si="20"/>
        <v>0.4</v>
      </c>
      <c r="AN24" s="18">
        <f t="shared" si="21"/>
        <v>0.3</v>
      </c>
      <c r="AO24" s="18">
        <f t="shared" si="22"/>
        <v>0</v>
      </c>
      <c r="AP24" s="18">
        <f t="shared" si="23"/>
        <v>0</v>
      </c>
      <c r="AQ24" s="18" t="str">
        <f t="shared" si="24"/>
        <v/>
      </c>
      <c r="AR24" s="18" t="str">
        <f t="shared" si="25"/>
        <v>Readjusted weights: :30% :40% :30%    in this use case because      has/have NA values in it</v>
      </c>
      <c r="AS24" s="18" t="str">
        <f t="shared" si="26"/>
        <v/>
      </c>
      <c r="AT24" s="18" t="str">
        <f t="shared" si="27"/>
        <v/>
      </c>
      <c r="AU24" s="18" t="str">
        <f t="shared" si="28"/>
        <v/>
      </c>
      <c r="AV24" s="18" t="str">
        <f t="shared" si="29"/>
        <v/>
      </c>
      <c r="AW24" s="18" t="str">
        <f t="shared" si="30"/>
        <v/>
      </c>
      <c r="AX24" s="18">
        <f t="shared" si="31"/>
        <v>0</v>
      </c>
      <c r="AY24" s="18">
        <f t="shared" si="32"/>
        <v>0</v>
      </c>
    </row>
    <row r="25" spans="1:51">
      <c r="A25" s="27" t="str">
        <f>'Step 1 - Fill in Details'!C21</f>
        <v>UC15</v>
      </c>
      <c r="B25" s="9" t="b">
        <f>'Step 1 - Fill in Details'!D21</f>
        <v>0</v>
      </c>
      <c r="C25" s="21"/>
      <c r="D25" s="21"/>
      <c r="E25" s="21"/>
      <c r="F25" s="21"/>
      <c r="G25" s="21"/>
      <c r="H25" s="22"/>
      <c r="I25" s="21"/>
      <c r="J25" s="21"/>
      <c r="K25" s="21"/>
      <c r="L25" s="21"/>
      <c r="M25" s="21"/>
      <c r="N25" s="17"/>
      <c r="O25" s="83">
        <f t="shared" si="4"/>
        <v>0</v>
      </c>
      <c r="P25" s="84">
        <f t="shared" si="5"/>
        <v>0</v>
      </c>
      <c r="Q25" s="18" cm="1">
        <f t="array" aca="1" ref="Q25" ca="1">P25+O25+(RAND()*0.00000000000001+1/ROW(15:15)*0.000001)</f>
        <v>6.6666674175258468E-8</v>
      </c>
      <c r="R25" s="18" t="b">
        <f t="shared" si="0"/>
        <v>1</v>
      </c>
      <c r="S25" s="18" cm="1">
        <f t="array" ref="S25">SUMPRODUCT(($R$11:R25)*1)</f>
        <v>13</v>
      </c>
      <c r="U25" s="30" t="b">
        <f t="shared" si="6"/>
        <v>1</v>
      </c>
      <c r="V25" s="30" cm="1">
        <f t="array" ref="V25">SUMPRODUCT(($U$10:U25)*1)</f>
        <v>13</v>
      </c>
      <c r="W25" s="30"/>
      <c r="X25" s="30" cm="1">
        <f t="array" ref="X25">SUMPRODUCT($I$10:$M$10,(I25:M25&lt;&gt;"NA")*1)</f>
        <v>1</v>
      </c>
      <c r="Y25" s="30">
        <f t="shared" si="7"/>
        <v>0.3</v>
      </c>
      <c r="Z25" s="30">
        <f t="shared" si="8"/>
        <v>0.4</v>
      </c>
      <c r="AA25" s="30">
        <f t="shared" si="9"/>
        <v>0.3</v>
      </c>
      <c r="AB25" s="30">
        <f t="shared" si="10"/>
        <v>0</v>
      </c>
      <c r="AC25" s="30">
        <f t="shared" si="11"/>
        <v>0</v>
      </c>
      <c r="AD25" s="30" t="str">
        <f t="shared" si="12"/>
        <v/>
      </c>
      <c r="AE25" s="30" t="str">
        <f t="shared" si="13"/>
        <v>Readjusted weights: :30% :40% :30%    in this use case because      has/have NA values in it</v>
      </c>
      <c r="AF25" s="30" t="str">
        <f t="shared" si="14"/>
        <v/>
      </c>
      <c r="AG25" s="30" t="str">
        <f t="shared" si="15"/>
        <v/>
      </c>
      <c r="AH25" s="30" t="str">
        <f t="shared" si="16"/>
        <v/>
      </c>
      <c r="AI25" s="30" t="str">
        <f t="shared" si="17"/>
        <v/>
      </c>
      <c r="AJ25" s="30" t="str">
        <f t="shared" si="18"/>
        <v/>
      </c>
      <c r="AK25" s="18" cm="1">
        <f t="array" ref="AK25">SUMPRODUCT($C$10:$G$10,(C25:G25&lt;&gt;"NA")*1)</f>
        <v>1</v>
      </c>
      <c r="AL25" s="18">
        <f t="shared" si="19"/>
        <v>0.3</v>
      </c>
      <c r="AM25" s="18">
        <f t="shared" si="20"/>
        <v>0.4</v>
      </c>
      <c r="AN25" s="18">
        <f t="shared" si="21"/>
        <v>0.3</v>
      </c>
      <c r="AO25" s="18">
        <f t="shared" si="22"/>
        <v>0</v>
      </c>
      <c r="AP25" s="18">
        <f t="shared" si="23"/>
        <v>0</v>
      </c>
      <c r="AQ25" s="18" t="str">
        <f t="shared" si="24"/>
        <v/>
      </c>
      <c r="AR25" s="18" t="str">
        <f t="shared" si="25"/>
        <v>Readjusted weights: :30% :40% :30%    in this use case because      has/have NA values in it</v>
      </c>
      <c r="AS25" s="18" t="str">
        <f t="shared" si="26"/>
        <v/>
      </c>
      <c r="AT25" s="18" t="str">
        <f t="shared" si="27"/>
        <v/>
      </c>
      <c r="AU25" s="18" t="str">
        <f t="shared" si="28"/>
        <v/>
      </c>
      <c r="AV25" s="18" t="str">
        <f t="shared" si="29"/>
        <v/>
      </c>
      <c r="AW25" s="18" t="str">
        <f t="shared" si="30"/>
        <v/>
      </c>
      <c r="AX25" s="18">
        <f t="shared" si="31"/>
        <v>0</v>
      </c>
      <c r="AY25" s="18">
        <f t="shared" si="32"/>
        <v>0</v>
      </c>
    </row>
    <row r="26" spans="1:51">
      <c r="A26" s="27" t="str">
        <f>'Step 1 - Fill in Details'!C22</f>
        <v>UC16</v>
      </c>
      <c r="B26" s="9" t="b">
        <f>'Step 1 - Fill in Details'!D22</f>
        <v>0</v>
      </c>
      <c r="C26" s="21"/>
      <c r="D26" s="21"/>
      <c r="E26" s="21"/>
      <c r="F26" s="21"/>
      <c r="G26" s="21"/>
      <c r="H26" s="22"/>
      <c r="I26" s="21"/>
      <c r="J26" s="21"/>
      <c r="K26" s="21"/>
      <c r="L26" s="21"/>
      <c r="M26" s="21"/>
      <c r="N26" s="17"/>
      <c r="O26" s="83">
        <f t="shared" si="4"/>
        <v>0</v>
      </c>
      <c r="P26" s="84">
        <f t="shared" si="5"/>
        <v>0</v>
      </c>
      <c r="Q26" s="18" cm="1">
        <f t="array" aca="1" ref="Q26" ca="1">P26+O26+(RAND()*0.00000000000001+1/ROW(16:16)*0.000001)</f>
        <v>6.2500005301326123E-8</v>
      </c>
      <c r="R26" s="18" t="b">
        <f t="shared" si="0"/>
        <v>1</v>
      </c>
      <c r="S26" s="18" cm="1">
        <f t="array" ref="S26">SUMPRODUCT(($R$11:R26)*1)</f>
        <v>14</v>
      </c>
      <c r="U26" s="30" t="b">
        <f t="shared" si="6"/>
        <v>1</v>
      </c>
      <c r="V26" s="30" cm="1">
        <f t="array" ref="V26">SUMPRODUCT(($U$10:U26)*1)</f>
        <v>14</v>
      </c>
      <c r="W26" s="30"/>
      <c r="X26" s="30" cm="1">
        <f t="array" ref="X26">SUMPRODUCT($I$10:$M$10,(I26:M26&lt;&gt;"NA")*1)</f>
        <v>1</v>
      </c>
      <c r="Y26" s="30">
        <f t="shared" si="7"/>
        <v>0.3</v>
      </c>
      <c r="Z26" s="30">
        <f t="shared" si="8"/>
        <v>0.4</v>
      </c>
      <c r="AA26" s="30">
        <f t="shared" si="9"/>
        <v>0.3</v>
      </c>
      <c r="AB26" s="30">
        <f t="shared" si="10"/>
        <v>0</v>
      </c>
      <c r="AC26" s="30">
        <f t="shared" si="11"/>
        <v>0</v>
      </c>
      <c r="AD26" s="30" t="str">
        <f t="shared" si="12"/>
        <v/>
      </c>
      <c r="AE26" s="30" t="str">
        <f t="shared" si="13"/>
        <v>Readjusted weights: :30% :40% :30%    in this use case because      has/have NA values in it</v>
      </c>
      <c r="AF26" s="30" t="str">
        <f t="shared" si="14"/>
        <v/>
      </c>
      <c r="AG26" s="30" t="str">
        <f t="shared" si="15"/>
        <v/>
      </c>
      <c r="AH26" s="30" t="str">
        <f t="shared" si="16"/>
        <v/>
      </c>
      <c r="AI26" s="30" t="str">
        <f t="shared" si="17"/>
        <v/>
      </c>
      <c r="AJ26" s="30" t="str">
        <f t="shared" si="18"/>
        <v/>
      </c>
      <c r="AK26" s="18" cm="1">
        <f t="array" ref="AK26">SUMPRODUCT($C$10:$G$10,(C26:G26&lt;&gt;"NA")*1)</f>
        <v>1</v>
      </c>
      <c r="AL26" s="18">
        <f t="shared" si="19"/>
        <v>0.3</v>
      </c>
      <c r="AM26" s="18">
        <f t="shared" si="20"/>
        <v>0.4</v>
      </c>
      <c r="AN26" s="18">
        <f t="shared" si="21"/>
        <v>0.3</v>
      </c>
      <c r="AO26" s="18">
        <f t="shared" si="22"/>
        <v>0</v>
      </c>
      <c r="AP26" s="18">
        <f t="shared" si="23"/>
        <v>0</v>
      </c>
      <c r="AQ26" s="18" t="str">
        <f t="shared" si="24"/>
        <v/>
      </c>
      <c r="AR26" s="18" t="str">
        <f t="shared" si="25"/>
        <v>Readjusted weights: :30% :40% :30%    in this use case because      has/have NA values in it</v>
      </c>
      <c r="AS26" s="18" t="str">
        <f t="shared" si="26"/>
        <v/>
      </c>
      <c r="AT26" s="18" t="str">
        <f t="shared" si="27"/>
        <v/>
      </c>
      <c r="AU26" s="18" t="str">
        <f t="shared" si="28"/>
        <v/>
      </c>
      <c r="AV26" s="18" t="str">
        <f t="shared" si="29"/>
        <v/>
      </c>
      <c r="AW26" s="18" t="str">
        <f t="shared" si="30"/>
        <v/>
      </c>
      <c r="AX26" s="18">
        <f t="shared" si="31"/>
        <v>0</v>
      </c>
      <c r="AY26" s="18">
        <f t="shared" si="32"/>
        <v>0</v>
      </c>
    </row>
    <row r="27" spans="1:51">
      <c r="A27" s="27" t="str">
        <f>'Step 1 - Fill in Details'!C23</f>
        <v>UC17</v>
      </c>
      <c r="B27" s="9" t="b">
        <f>'Step 1 - Fill in Details'!D23</f>
        <v>0</v>
      </c>
      <c r="C27" s="21"/>
      <c r="D27" s="21"/>
      <c r="E27" s="21"/>
      <c r="F27" s="21"/>
      <c r="G27" s="21"/>
      <c r="H27" s="22"/>
      <c r="I27" s="21"/>
      <c r="J27" s="21"/>
      <c r="K27" s="21"/>
      <c r="L27" s="21"/>
      <c r="M27" s="21"/>
      <c r="N27" s="17"/>
      <c r="O27" s="83">
        <f t="shared" si="4"/>
        <v>0</v>
      </c>
      <c r="P27" s="84">
        <f t="shared" si="5"/>
        <v>0</v>
      </c>
      <c r="Q27" s="18" cm="1">
        <f t="array" aca="1" ref="Q27" ca="1">P27+O27+(RAND()*0.00000000000001+1/ROW(17:17)*0.000001)</f>
        <v>5.8823536383607427E-8</v>
      </c>
      <c r="R27" s="18" t="b">
        <f t="shared" si="0"/>
        <v>1</v>
      </c>
      <c r="S27" s="18" cm="1">
        <f t="array" ref="S27">SUMPRODUCT(($R$11:R27)*1)</f>
        <v>15</v>
      </c>
      <c r="U27" s="30" t="b">
        <f t="shared" si="6"/>
        <v>1</v>
      </c>
      <c r="V27" s="30" cm="1">
        <f t="array" ref="V27">SUMPRODUCT(($U$10:U27)*1)</f>
        <v>15</v>
      </c>
      <c r="W27" s="30"/>
      <c r="X27" s="30" cm="1">
        <f t="array" ref="X27">SUMPRODUCT($I$10:$M$10,(I27:M27&lt;&gt;"NA")*1)</f>
        <v>1</v>
      </c>
      <c r="Y27" s="30">
        <f t="shared" si="7"/>
        <v>0.3</v>
      </c>
      <c r="Z27" s="30">
        <f t="shared" si="8"/>
        <v>0.4</v>
      </c>
      <c r="AA27" s="30">
        <f t="shared" si="9"/>
        <v>0.3</v>
      </c>
      <c r="AB27" s="30">
        <f t="shared" si="10"/>
        <v>0</v>
      </c>
      <c r="AC27" s="30">
        <f t="shared" si="11"/>
        <v>0</v>
      </c>
      <c r="AD27" s="30" t="str">
        <f t="shared" si="12"/>
        <v/>
      </c>
      <c r="AE27" s="30" t="str">
        <f t="shared" si="13"/>
        <v>Readjusted weights: :30% :40% :30%    in this use case because      has/have NA values in it</v>
      </c>
      <c r="AF27" s="30" t="str">
        <f t="shared" si="14"/>
        <v/>
      </c>
      <c r="AG27" s="30" t="str">
        <f t="shared" si="15"/>
        <v/>
      </c>
      <c r="AH27" s="30" t="str">
        <f t="shared" si="16"/>
        <v/>
      </c>
      <c r="AI27" s="30" t="str">
        <f t="shared" si="17"/>
        <v/>
      </c>
      <c r="AJ27" s="30" t="str">
        <f t="shared" si="18"/>
        <v/>
      </c>
      <c r="AK27" s="18" cm="1">
        <f t="array" ref="AK27">SUMPRODUCT($C$10:$G$10,(C27:G27&lt;&gt;"NA")*1)</f>
        <v>1</v>
      </c>
      <c r="AL27" s="18">
        <f t="shared" si="19"/>
        <v>0.3</v>
      </c>
      <c r="AM27" s="18">
        <f t="shared" si="20"/>
        <v>0.4</v>
      </c>
      <c r="AN27" s="18">
        <f t="shared" si="21"/>
        <v>0.3</v>
      </c>
      <c r="AO27" s="18">
        <f t="shared" si="22"/>
        <v>0</v>
      </c>
      <c r="AP27" s="18">
        <f t="shared" si="23"/>
        <v>0</v>
      </c>
      <c r="AQ27" s="18" t="str">
        <f t="shared" si="24"/>
        <v/>
      </c>
      <c r="AR27" s="18" t="str">
        <f t="shared" si="25"/>
        <v>Readjusted weights: :30% :40% :30%    in this use case because      has/have NA values in it</v>
      </c>
      <c r="AS27" s="18" t="str">
        <f t="shared" si="26"/>
        <v/>
      </c>
      <c r="AT27" s="18" t="str">
        <f t="shared" si="27"/>
        <v/>
      </c>
      <c r="AU27" s="18" t="str">
        <f t="shared" si="28"/>
        <v/>
      </c>
      <c r="AV27" s="18" t="str">
        <f t="shared" si="29"/>
        <v/>
      </c>
      <c r="AW27" s="18" t="str">
        <f t="shared" si="30"/>
        <v/>
      </c>
      <c r="AX27" s="18">
        <f t="shared" si="31"/>
        <v>0</v>
      </c>
      <c r="AY27" s="18">
        <f t="shared" si="32"/>
        <v>0</v>
      </c>
    </row>
    <row r="28" spans="1:51">
      <c r="A28" s="27" t="str">
        <f>'Step 1 - Fill in Details'!C24</f>
        <v>UC18</v>
      </c>
      <c r="B28" s="9" t="b">
        <f>'Step 1 - Fill in Details'!D24</f>
        <v>0</v>
      </c>
      <c r="C28" s="21"/>
      <c r="D28" s="21"/>
      <c r="E28" s="21"/>
      <c r="F28" s="21"/>
      <c r="G28" s="21"/>
      <c r="H28" s="22"/>
      <c r="I28" s="21"/>
      <c r="J28" s="21"/>
      <c r="K28" s="21"/>
      <c r="L28" s="21"/>
      <c r="M28" s="21"/>
      <c r="N28" s="17"/>
      <c r="O28" s="83">
        <f t="shared" si="4"/>
        <v>0</v>
      </c>
      <c r="P28" s="84">
        <f t="shared" si="5"/>
        <v>0</v>
      </c>
      <c r="Q28" s="18" cm="1">
        <f t="array" aca="1" ref="Q28" ca="1">P28+O28+(RAND()*0.00000000000001+1/ROW(18:18)*0.000001)</f>
        <v>5.5555558341615259E-8</v>
      </c>
      <c r="R28" s="18" t="b">
        <f t="shared" si="0"/>
        <v>1</v>
      </c>
      <c r="S28" s="18" cm="1">
        <f t="array" ref="S28">SUMPRODUCT(($R$11:R28)*1)</f>
        <v>16</v>
      </c>
      <c r="U28" s="30" t="b">
        <f t="shared" si="6"/>
        <v>1</v>
      </c>
      <c r="V28" s="30" cm="1">
        <f t="array" ref="V28">SUMPRODUCT(($U$10:U28)*1)</f>
        <v>16</v>
      </c>
      <c r="W28" s="30"/>
      <c r="X28" s="30" cm="1">
        <f t="array" ref="X28">SUMPRODUCT($I$10:$M$10,(I28:M28&lt;&gt;"NA")*1)</f>
        <v>1</v>
      </c>
      <c r="Y28" s="30">
        <f t="shared" si="7"/>
        <v>0.3</v>
      </c>
      <c r="Z28" s="30">
        <f t="shared" si="8"/>
        <v>0.4</v>
      </c>
      <c r="AA28" s="30">
        <f t="shared" si="9"/>
        <v>0.3</v>
      </c>
      <c r="AB28" s="30">
        <f t="shared" si="10"/>
        <v>0</v>
      </c>
      <c r="AC28" s="30">
        <f t="shared" si="11"/>
        <v>0</v>
      </c>
      <c r="AD28" s="30" t="str">
        <f t="shared" si="12"/>
        <v/>
      </c>
      <c r="AE28" s="30" t="str">
        <f t="shared" si="13"/>
        <v>Readjusted weights: :30% :40% :30%    in this use case because      has/have NA values in it</v>
      </c>
      <c r="AF28" s="30" t="str">
        <f t="shared" si="14"/>
        <v/>
      </c>
      <c r="AG28" s="30" t="str">
        <f t="shared" si="15"/>
        <v/>
      </c>
      <c r="AH28" s="30" t="str">
        <f t="shared" si="16"/>
        <v/>
      </c>
      <c r="AI28" s="30" t="str">
        <f t="shared" si="17"/>
        <v/>
      </c>
      <c r="AJ28" s="30" t="str">
        <f t="shared" si="18"/>
        <v/>
      </c>
      <c r="AK28" s="18" cm="1">
        <f t="array" ref="AK28">SUMPRODUCT($C$10:$G$10,(C28:G28&lt;&gt;"NA")*1)</f>
        <v>1</v>
      </c>
      <c r="AL28" s="18">
        <f t="shared" si="19"/>
        <v>0.3</v>
      </c>
      <c r="AM28" s="18">
        <f t="shared" si="20"/>
        <v>0.4</v>
      </c>
      <c r="AN28" s="18">
        <f t="shared" si="21"/>
        <v>0.3</v>
      </c>
      <c r="AO28" s="18">
        <f t="shared" si="22"/>
        <v>0</v>
      </c>
      <c r="AP28" s="18">
        <f t="shared" si="23"/>
        <v>0</v>
      </c>
      <c r="AQ28" s="18" t="str">
        <f t="shared" si="24"/>
        <v/>
      </c>
      <c r="AR28" s="18" t="str">
        <f t="shared" si="25"/>
        <v>Readjusted weights: :30% :40% :30%    in this use case because      has/have NA values in it</v>
      </c>
      <c r="AS28" s="18" t="str">
        <f t="shared" si="26"/>
        <v/>
      </c>
      <c r="AT28" s="18" t="str">
        <f t="shared" si="27"/>
        <v/>
      </c>
      <c r="AU28" s="18" t="str">
        <f t="shared" si="28"/>
        <v/>
      </c>
      <c r="AV28" s="18" t="str">
        <f t="shared" si="29"/>
        <v/>
      </c>
      <c r="AW28" s="18" t="str">
        <f t="shared" si="30"/>
        <v/>
      </c>
      <c r="AX28" s="18">
        <f t="shared" si="31"/>
        <v>0</v>
      </c>
      <c r="AY28" s="18">
        <f t="shared" si="32"/>
        <v>0</v>
      </c>
    </row>
    <row r="29" spans="1:51">
      <c r="A29" s="27" t="str">
        <f>'Step 1 - Fill in Details'!C25</f>
        <v>UC19</v>
      </c>
      <c r="B29" s="9" t="b">
        <f>'Step 1 - Fill in Details'!D25</f>
        <v>0</v>
      </c>
      <c r="C29" s="21"/>
      <c r="D29" s="21"/>
      <c r="E29" s="21"/>
      <c r="F29" s="21"/>
      <c r="G29" s="21"/>
      <c r="H29" s="22"/>
      <c r="I29" s="21"/>
      <c r="J29" s="21"/>
      <c r="K29" s="21"/>
      <c r="L29" s="21"/>
      <c r="M29" s="21"/>
      <c r="N29" s="17"/>
      <c r="O29" s="83">
        <f t="shared" si="4"/>
        <v>0</v>
      </c>
      <c r="P29" s="84">
        <f t="shared" si="5"/>
        <v>0</v>
      </c>
      <c r="Q29" s="18" cm="1">
        <f t="array" aca="1" ref="Q29" ca="1">P29+O29+(RAND()*0.00000000000001+1/ROW(19:19)*0.000001)</f>
        <v>5.2631581989772028E-8</v>
      </c>
      <c r="R29" s="18" t="b">
        <f t="shared" si="0"/>
        <v>1</v>
      </c>
      <c r="S29" s="18" cm="1">
        <f t="array" ref="S29">SUMPRODUCT(($R$11:R29)*1)</f>
        <v>17</v>
      </c>
      <c r="U29" s="30" t="b">
        <f t="shared" si="6"/>
        <v>1</v>
      </c>
      <c r="V29" s="30" cm="1">
        <f t="array" ref="V29">SUMPRODUCT(($U$10:U29)*1)</f>
        <v>17</v>
      </c>
      <c r="W29" s="30"/>
      <c r="X29" s="30" cm="1">
        <f t="array" ref="X29">SUMPRODUCT($I$10:$M$10,(I29:M29&lt;&gt;"NA")*1)</f>
        <v>1</v>
      </c>
      <c r="Y29" s="30">
        <f t="shared" si="7"/>
        <v>0.3</v>
      </c>
      <c r="Z29" s="30">
        <f t="shared" si="8"/>
        <v>0.4</v>
      </c>
      <c r="AA29" s="30">
        <f t="shared" si="9"/>
        <v>0.3</v>
      </c>
      <c r="AB29" s="30">
        <f t="shared" si="10"/>
        <v>0</v>
      </c>
      <c r="AC29" s="30">
        <f t="shared" si="11"/>
        <v>0</v>
      </c>
      <c r="AD29" s="30" t="str">
        <f t="shared" si="12"/>
        <v/>
      </c>
      <c r="AE29" s="30" t="str">
        <f t="shared" si="13"/>
        <v>Readjusted weights: :30% :40% :30%    in this use case because      has/have NA values in it</v>
      </c>
      <c r="AF29" s="30" t="str">
        <f t="shared" si="14"/>
        <v/>
      </c>
      <c r="AG29" s="30" t="str">
        <f t="shared" si="15"/>
        <v/>
      </c>
      <c r="AH29" s="30" t="str">
        <f t="shared" si="16"/>
        <v/>
      </c>
      <c r="AI29" s="30" t="str">
        <f t="shared" si="17"/>
        <v/>
      </c>
      <c r="AJ29" s="30" t="str">
        <f t="shared" si="18"/>
        <v/>
      </c>
      <c r="AK29" s="18" cm="1">
        <f t="array" ref="AK29">SUMPRODUCT($C$10:$G$10,(C29:G29&lt;&gt;"NA")*1)</f>
        <v>1</v>
      </c>
      <c r="AL29" s="18">
        <f t="shared" si="19"/>
        <v>0.3</v>
      </c>
      <c r="AM29" s="18">
        <f t="shared" si="20"/>
        <v>0.4</v>
      </c>
      <c r="AN29" s="18">
        <f t="shared" si="21"/>
        <v>0.3</v>
      </c>
      <c r="AO29" s="18">
        <f t="shared" si="22"/>
        <v>0</v>
      </c>
      <c r="AP29" s="18">
        <f t="shared" si="23"/>
        <v>0</v>
      </c>
      <c r="AQ29" s="18" t="str">
        <f t="shared" si="24"/>
        <v/>
      </c>
      <c r="AR29" s="18" t="str">
        <f t="shared" si="25"/>
        <v>Readjusted weights: :30% :40% :30%    in this use case because      has/have NA values in it</v>
      </c>
      <c r="AS29" s="18" t="str">
        <f t="shared" si="26"/>
        <v/>
      </c>
      <c r="AT29" s="18" t="str">
        <f t="shared" si="27"/>
        <v/>
      </c>
      <c r="AU29" s="18" t="str">
        <f t="shared" si="28"/>
        <v/>
      </c>
      <c r="AV29" s="18" t="str">
        <f t="shared" si="29"/>
        <v/>
      </c>
      <c r="AW29" s="18" t="str">
        <f t="shared" si="30"/>
        <v/>
      </c>
      <c r="AX29" s="18">
        <f t="shared" si="31"/>
        <v>0</v>
      </c>
      <c r="AY29" s="18">
        <f t="shared" si="32"/>
        <v>0</v>
      </c>
    </row>
    <row r="30" spans="1:51">
      <c r="A30" s="27" t="str">
        <f>'Step 1 - Fill in Details'!C26</f>
        <v>UC20</v>
      </c>
      <c r="B30" s="9" t="b">
        <f>'Step 1 - Fill in Details'!D26</f>
        <v>0</v>
      </c>
      <c r="C30" s="21"/>
      <c r="D30" s="21"/>
      <c r="E30" s="21"/>
      <c r="F30" s="21"/>
      <c r="G30" s="21"/>
      <c r="H30" s="22"/>
      <c r="I30" s="21"/>
      <c r="J30" s="21"/>
      <c r="K30" s="21"/>
      <c r="L30" s="21"/>
      <c r="M30" s="21"/>
      <c r="N30" s="17"/>
      <c r="O30" s="83">
        <f t="shared" si="4"/>
        <v>0</v>
      </c>
      <c r="P30" s="84">
        <f t="shared" si="5"/>
        <v>0</v>
      </c>
      <c r="Q30" s="18" cm="1">
        <f t="array" aca="1" ref="Q30" ca="1">P30+O30+(RAND()*0.00000000000001+1/ROW(20:20)*0.000001)</f>
        <v>5.0000009265402942E-8</v>
      </c>
      <c r="R30" s="18" t="b">
        <f t="shared" si="0"/>
        <v>1</v>
      </c>
      <c r="S30" s="18" cm="1">
        <f t="array" ref="S30">SUMPRODUCT(($R$11:R30)*1)</f>
        <v>18</v>
      </c>
      <c r="U30" s="30" t="b">
        <f t="shared" si="6"/>
        <v>1</v>
      </c>
      <c r="V30" s="30" cm="1">
        <f t="array" ref="V30">SUMPRODUCT(($U$10:U30)*1)</f>
        <v>18</v>
      </c>
      <c r="W30" s="30"/>
      <c r="X30" s="30" cm="1">
        <f t="array" ref="X30">SUMPRODUCT($I$10:$M$10,(I30:M30&lt;&gt;"NA")*1)</f>
        <v>1</v>
      </c>
      <c r="Y30" s="30">
        <f t="shared" si="7"/>
        <v>0.3</v>
      </c>
      <c r="Z30" s="30">
        <f t="shared" si="8"/>
        <v>0.4</v>
      </c>
      <c r="AA30" s="30">
        <f t="shared" si="9"/>
        <v>0.3</v>
      </c>
      <c r="AB30" s="30">
        <f t="shared" si="10"/>
        <v>0</v>
      </c>
      <c r="AC30" s="30">
        <f t="shared" si="11"/>
        <v>0</v>
      </c>
      <c r="AD30" s="30" t="str">
        <f t="shared" si="12"/>
        <v/>
      </c>
      <c r="AE30" s="30" t="str">
        <f t="shared" si="13"/>
        <v>Readjusted weights: :30% :40% :30%    in this use case because      has/have NA values in it</v>
      </c>
      <c r="AF30" s="30" t="str">
        <f t="shared" si="14"/>
        <v/>
      </c>
      <c r="AG30" s="30" t="str">
        <f t="shared" si="15"/>
        <v/>
      </c>
      <c r="AH30" s="30" t="str">
        <f t="shared" si="16"/>
        <v/>
      </c>
      <c r="AI30" s="30" t="str">
        <f t="shared" si="17"/>
        <v/>
      </c>
      <c r="AJ30" s="30" t="str">
        <f t="shared" si="18"/>
        <v/>
      </c>
      <c r="AK30" s="18" cm="1">
        <f t="array" ref="AK30">SUMPRODUCT($C$10:$G$10,(C30:G30&lt;&gt;"NA")*1)</f>
        <v>1</v>
      </c>
      <c r="AL30" s="18">
        <f t="shared" si="19"/>
        <v>0.3</v>
      </c>
      <c r="AM30" s="18">
        <f t="shared" si="20"/>
        <v>0.4</v>
      </c>
      <c r="AN30" s="18">
        <f t="shared" si="21"/>
        <v>0.3</v>
      </c>
      <c r="AO30" s="18">
        <f t="shared" si="22"/>
        <v>0</v>
      </c>
      <c r="AP30" s="18">
        <f t="shared" si="23"/>
        <v>0</v>
      </c>
      <c r="AQ30" s="18" t="str">
        <f t="shared" si="24"/>
        <v/>
      </c>
      <c r="AR30" s="18" t="str">
        <f t="shared" si="25"/>
        <v>Readjusted weights: :30% :40% :30%    in this use case because      has/have NA values in it</v>
      </c>
      <c r="AS30" s="18" t="str">
        <f t="shared" si="26"/>
        <v/>
      </c>
      <c r="AT30" s="18" t="str">
        <f t="shared" si="27"/>
        <v/>
      </c>
      <c r="AU30" s="18" t="str">
        <f t="shared" si="28"/>
        <v/>
      </c>
      <c r="AV30" s="18" t="str">
        <f t="shared" si="29"/>
        <v/>
      </c>
      <c r="AW30" s="18" t="str">
        <f t="shared" si="30"/>
        <v/>
      </c>
      <c r="AX30" s="18">
        <f t="shared" si="31"/>
        <v>0</v>
      </c>
      <c r="AY30" s="18">
        <f t="shared" si="32"/>
        <v>0</v>
      </c>
    </row>
    <row r="31" spans="1:51">
      <c r="A31" s="27" t="str">
        <f>'Step 1 - Fill in Details'!C27</f>
        <v>UC21</v>
      </c>
      <c r="B31" s="9" t="b">
        <f>'Step 1 - Fill in Details'!D27</f>
        <v>0</v>
      </c>
      <c r="C31" s="21"/>
      <c r="D31" s="21"/>
      <c r="E31" s="21"/>
      <c r="F31" s="21"/>
      <c r="G31" s="21"/>
      <c r="H31" s="22"/>
      <c r="I31" s="21"/>
      <c r="J31" s="21"/>
      <c r="K31" s="21"/>
      <c r="L31" s="21"/>
      <c r="M31" s="21"/>
      <c r="N31" s="17"/>
      <c r="O31" s="83">
        <f t="shared" si="4"/>
        <v>0</v>
      </c>
      <c r="P31" s="84">
        <f t="shared" si="5"/>
        <v>0</v>
      </c>
      <c r="Q31" s="18" cm="1">
        <f t="array" aca="1" ref="Q31" ca="1">P31+O31+(RAND()*0.00000000000001+1/ROW(21:21)*0.000001)</f>
        <v>4.76190524195757E-8</v>
      </c>
      <c r="R31" s="18" t="b">
        <f t="shared" si="0"/>
        <v>1</v>
      </c>
      <c r="S31" s="18" cm="1">
        <f t="array" ref="S31">SUMPRODUCT(($R$11:R31)*1)</f>
        <v>19</v>
      </c>
      <c r="U31" s="30" t="b">
        <f t="shared" si="6"/>
        <v>1</v>
      </c>
      <c r="V31" s="30" cm="1">
        <f t="array" ref="V31">SUMPRODUCT(($U$10:U31)*1)</f>
        <v>19</v>
      </c>
      <c r="W31" s="30"/>
      <c r="X31" s="30" cm="1">
        <f t="array" ref="X31">SUMPRODUCT($I$10:$M$10,(I31:M31&lt;&gt;"NA")*1)</f>
        <v>1</v>
      </c>
      <c r="Y31" s="30">
        <f t="shared" si="7"/>
        <v>0.3</v>
      </c>
      <c r="Z31" s="30">
        <f t="shared" si="8"/>
        <v>0.4</v>
      </c>
      <c r="AA31" s="30">
        <f t="shared" si="9"/>
        <v>0.3</v>
      </c>
      <c r="AB31" s="30">
        <f t="shared" si="10"/>
        <v>0</v>
      </c>
      <c r="AC31" s="30">
        <f t="shared" si="11"/>
        <v>0</v>
      </c>
      <c r="AD31" s="30" t="str">
        <f t="shared" si="12"/>
        <v/>
      </c>
      <c r="AE31" s="30" t="str">
        <f t="shared" si="13"/>
        <v>Readjusted weights: :30% :40% :30%    in this use case because      has/have NA values in it</v>
      </c>
      <c r="AF31" s="30" t="str">
        <f t="shared" si="14"/>
        <v/>
      </c>
      <c r="AG31" s="30" t="str">
        <f t="shared" si="15"/>
        <v/>
      </c>
      <c r="AH31" s="30" t="str">
        <f t="shared" si="16"/>
        <v/>
      </c>
      <c r="AI31" s="30" t="str">
        <f t="shared" si="17"/>
        <v/>
      </c>
      <c r="AJ31" s="30" t="str">
        <f t="shared" si="18"/>
        <v/>
      </c>
      <c r="AK31" s="18" cm="1">
        <f t="array" ref="AK31">SUMPRODUCT($C$10:$G$10,(C31:G31&lt;&gt;"NA")*1)</f>
        <v>1</v>
      </c>
      <c r="AL31" s="18">
        <f t="shared" si="19"/>
        <v>0.3</v>
      </c>
      <c r="AM31" s="18">
        <f t="shared" si="20"/>
        <v>0.4</v>
      </c>
      <c r="AN31" s="18">
        <f t="shared" si="21"/>
        <v>0.3</v>
      </c>
      <c r="AO31" s="18">
        <f t="shared" si="22"/>
        <v>0</v>
      </c>
      <c r="AP31" s="18">
        <f t="shared" si="23"/>
        <v>0</v>
      </c>
      <c r="AQ31" s="18" t="str">
        <f t="shared" si="24"/>
        <v/>
      </c>
      <c r="AR31" s="18" t="str">
        <f t="shared" si="25"/>
        <v>Readjusted weights: :30% :40% :30%    in this use case because      has/have NA values in it</v>
      </c>
      <c r="AS31" s="18" t="str">
        <f t="shared" si="26"/>
        <v/>
      </c>
      <c r="AT31" s="18" t="str">
        <f t="shared" si="27"/>
        <v/>
      </c>
      <c r="AU31" s="18" t="str">
        <f t="shared" si="28"/>
        <v/>
      </c>
      <c r="AV31" s="18" t="str">
        <f t="shared" si="29"/>
        <v/>
      </c>
      <c r="AW31" s="18" t="str">
        <f t="shared" si="30"/>
        <v/>
      </c>
      <c r="AX31" s="18">
        <f t="shared" si="31"/>
        <v>0</v>
      </c>
      <c r="AY31" s="18">
        <f t="shared" si="32"/>
        <v>0</v>
      </c>
    </row>
    <row r="32" spans="1:51">
      <c r="A32" s="27" t="str">
        <f>'Step 1 - Fill in Details'!C28</f>
        <v>UC22</v>
      </c>
      <c r="B32" s="9" t="b">
        <f>'Step 1 - Fill in Details'!D28</f>
        <v>0</v>
      </c>
      <c r="C32" s="21"/>
      <c r="D32" s="21"/>
      <c r="E32" s="21"/>
      <c r="F32" s="21"/>
      <c r="G32" s="21"/>
      <c r="H32" s="22"/>
      <c r="I32" s="21"/>
      <c r="J32" s="21"/>
      <c r="K32" s="21"/>
      <c r="L32" s="21"/>
      <c r="M32" s="21"/>
      <c r="N32" s="17"/>
      <c r="O32" s="83">
        <f t="shared" si="4"/>
        <v>0</v>
      </c>
      <c r="P32" s="84">
        <f t="shared" si="5"/>
        <v>0</v>
      </c>
      <c r="Q32" s="18" cm="1">
        <f t="array" aca="1" ref="Q32" ca="1">P32+O32+(RAND()*0.00000000000001+1/ROW(22:22)*0.000001)</f>
        <v>4.5454546422131052E-8</v>
      </c>
      <c r="R32" s="18" t="b">
        <f t="shared" si="0"/>
        <v>1</v>
      </c>
      <c r="S32" s="18" cm="1">
        <f t="array" ref="S32">SUMPRODUCT(($R$11:R32)*1)</f>
        <v>20</v>
      </c>
      <c r="U32" s="30" t="b">
        <f t="shared" si="6"/>
        <v>1</v>
      </c>
      <c r="V32" s="30" cm="1">
        <f t="array" ref="V32">SUMPRODUCT(($U$10:U32)*1)</f>
        <v>20</v>
      </c>
      <c r="W32" s="30"/>
      <c r="X32" s="30" cm="1">
        <f t="array" ref="X32">SUMPRODUCT($I$10:$M$10,(I32:M32&lt;&gt;"NA")*1)</f>
        <v>1</v>
      </c>
      <c r="Y32" s="30">
        <f t="shared" si="7"/>
        <v>0.3</v>
      </c>
      <c r="Z32" s="30">
        <f t="shared" si="8"/>
        <v>0.4</v>
      </c>
      <c r="AA32" s="30">
        <f t="shared" si="9"/>
        <v>0.3</v>
      </c>
      <c r="AB32" s="30">
        <f t="shared" si="10"/>
        <v>0</v>
      </c>
      <c r="AC32" s="30">
        <f t="shared" si="11"/>
        <v>0</v>
      </c>
      <c r="AD32" s="30" t="str">
        <f t="shared" si="12"/>
        <v/>
      </c>
      <c r="AE32" s="30" t="str">
        <f t="shared" si="13"/>
        <v>Readjusted weights: :30% :40% :30%    in this use case because      has/have NA values in it</v>
      </c>
      <c r="AF32" s="30" t="str">
        <f t="shared" si="14"/>
        <v/>
      </c>
      <c r="AG32" s="30" t="str">
        <f t="shared" si="15"/>
        <v/>
      </c>
      <c r="AH32" s="30" t="str">
        <f t="shared" si="16"/>
        <v/>
      </c>
      <c r="AI32" s="30" t="str">
        <f t="shared" si="17"/>
        <v/>
      </c>
      <c r="AJ32" s="30" t="str">
        <f t="shared" si="18"/>
        <v/>
      </c>
      <c r="AK32" s="18" cm="1">
        <f t="array" ref="AK32">SUMPRODUCT($C$10:$G$10,(C32:G32&lt;&gt;"NA")*1)</f>
        <v>1</v>
      </c>
      <c r="AL32" s="18">
        <f t="shared" si="19"/>
        <v>0.3</v>
      </c>
      <c r="AM32" s="18">
        <f t="shared" si="20"/>
        <v>0.4</v>
      </c>
      <c r="AN32" s="18">
        <f t="shared" si="21"/>
        <v>0.3</v>
      </c>
      <c r="AO32" s="18">
        <f t="shared" si="22"/>
        <v>0</v>
      </c>
      <c r="AP32" s="18">
        <f t="shared" si="23"/>
        <v>0</v>
      </c>
      <c r="AQ32" s="18" t="str">
        <f t="shared" si="24"/>
        <v/>
      </c>
      <c r="AR32" s="18" t="str">
        <f t="shared" si="25"/>
        <v>Readjusted weights: :30% :40% :30%    in this use case because      has/have NA values in it</v>
      </c>
      <c r="AS32" s="18" t="str">
        <f t="shared" si="26"/>
        <v/>
      </c>
      <c r="AT32" s="18" t="str">
        <f t="shared" si="27"/>
        <v/>
      </c>
      <c r="AU32" s="18" t="str">
        <f t="shared" si="28"/>
        <v/>
      </c>
      <c r="AV32" s="18" t="str">
        <f t="shared" si="29"/>
        <v/>
      </c>
      <c r="AW32" s="18" t="str">
        <f t="shared" si="30"/>
        <v/>
      </c>
      <c r="AX32" s="18">
        <f t="shared" si="31"/>
        <v>0</v>
      </c>
      <c r="AY32" s="18">
        <f t="shared" si="32"/>
        <v>0</v>
      </c>
    </row>
    <row r="33" spans="1:51">
      <c r="A33" s="27" t="str">
        <f>'Step 1 - Fill in Details'!C29</f>
        <v>UC23</v>
      </c>
      <c r="B33" s="9" t="b">
        <f>'Step 1 - Fill in Details'!D29</f>
        <v>0</v>
      </c>
      <c r="C33" s="21"/>
      <c r="D33" s="21"/>
      <c r="E33" s="21"/>
      <c r="F33" s="21"/>
      <c r="G33" s="21"/>
      <c r="H33" s="22"/>
      <c r="I33" s="21"/>
      <c r="J33" s="21"/>
      <c r="K33" s="21"/>
      <c r="L33" s="21"/>
      <c r="M33" s="21"/>
      <c r="N33" s="17"/>
      <c r="O33" s="83">
        <f t="shared" si="4"/>
        <v>0</v>
      </c>
      <c r="P33" s="84">
        <f t="shared" si="5"/>
        <v>0</v>
      </c>
      <c r="Q33" s="18" cm="1">
        <f t="array" aca="1" ref="Q33" ca="1">P33+O33+(RAND()*0.00000000000001+1/ROW(23:23)*0.000001)</f>
        <v>4.3478268433911877E-8</v>
      </c>
      <c r="R33" s="18" t="b">
        <f t="shared" si="0"/>
        <v>1</v>
      </c>
      <c r="S33" s="18" cm="1">
        <f t="array" ref="S33">SUMPRODUCT(($R$11:R33)*1)</f>
        <v>21</v>
      </c>
      <c r="U33" s="30" t="b">
        <f t="shared" si="6"/>
        <v>1</v>
      </c>
      <c r="V33" s="30" cm="1">
        <f t="array" ref="V33">SUMPRODUCT(($U$10:U33)*1)</f>
        <v>21</v>
      </c>
      <c r="W33" s="30"/>
      <c r="X33" s="30" cm="1">
        <f t="array" ref="X33">SUMPRODUCT($I$10:$M$10,(I33:M33&lt;&gt;"NA")*1)</f>
        <v>1</v>
      </c>
      <c r="Y33" s="30">
        <f t="shared" si="7"/>
        <v>0.3</v>
      </c>
      <c r="Z33" s="30">
        <f t="shared" si="8"/>
        <v>0.4</v>
      </c>
      <c r="AA33" s="30">
        <f t="shared" si="9"/>
        <v>0.3</v>
      </c>
      <c r="AB33" s="30">
        <f t="shared" si="10"/>
        <v>0</v>
      </c>
      <c r="AC33" s="30">
        <f t="shared" si="11"/>
        <v>0</v>
      </c>
      <c r="AD33" s="30" t="str">
        <f t="shared" si="12"/>
        <v/>
      </c>
      <c r="AE33" s="30" t="str">
        <f t="shared" si="13"/>
        <v>Readjusted weights: :30% :40% :30%    in this use case because      has/have NA values in it</v>
      </c>
      <c r="AF33" s="30" t="str">
        <f t="shared" si="14"/>
        <v/>
      </c>
      <c r="AG33" s="30" t="str">
        <f t="shared" si="15"/>
        <v/>
      </c>
      <c r="AH33" s="30" t="str">
        <f t="shared" si="16"/>
        <v/>
      </c>
      <c r="AI33" s="30" t="str">
        <f t="shared" si="17"/>
        <v/>
      </c>
      <c r="AJ33" s="30" t="str">
        <f t="shared" si="18"/>
        <v/>
      </c>
      <c r="AK33" s="18" cm="1">
        <f t="array" ref="AK33">SUMPRODUCT($C$10:$G$10,(C33:G33&lt;&gt;"NA")*1)</f>
        <v>1</v>
      </c>
      <c r="AL33" s="18">
        <f t="shared" si="19"/>
        <v>0.3</v>
      </c>
      <c r="AM33" s="18">
        <f t="shared" si="20"/>
        <v>0.4</v>
      </c>
      <c r="AN33" s="18">
        <f t="shared" si="21"/>
        <v>0.3</v>
      </c>
      <c r="AO33" s="18">
        <f t="shared" si="22"/>
        <v>0</v>
      </c>
      <c r="AP33" s="18">
        <f t="shared" si="23"/>
        <v>0</v>
      </c>
      <c r="AQ33" s="18" t="str">
        <f t="shared" si="24"/>
        <v/>
      </c>
      <c r="AR33" s="18" t="str">
        <f t="shared" si="25"/>
        <v>Readjusted weights: :30% :40% :30%    in this use case because      has/have NA values in it</v>
      </c>
      <c r="AS33" s="18" t="str">
        <f t="shared" si="26"/>
        <v/>
      </c>
      <c r="AT33" s="18" t="str">
        <f t="shared" si="27"/>
        <v/>
      </c>
      <c r="AU33" s="18" t="str">
        <f t="shared" si="28"/>
        <v/>
      </c>
      <c r="AV33" s="18" t="str">
        <f t="shared" si="29"/>
        <v/>
      </c>
      <c r="AW33" s="18" t="str">
        <f t="shared" si="30"/>
        <v/>
      </c>
      <c r="AX33" s="18">
        <f t="shared" si="31"/>
        <v>0</v>
      </c>
      <c r="AY33" s="18">
        <f t="shared" si="32"/>
        <v>0</v>
      </c>
    </row>
    <row r="34" spans="1:51">
      <c r="A34" s="27" t="str">
        <f>'Step 1 - Fill in Details'!C30</f>
        <v>UC24</v>
      </c>
      <c r="B34" s="9" t="b">
        <f>'Step 1 - Fill in Details'!D30</f>
        <v>0</v>
      </c>
      <c r="C34" s="21"/>
      <c r="D34" s="21"/>
      <c r="E34" s="21"/>
      <c r="F34" s="21"/>
      <c r="G34" s="21"/>
      <c r="H34" s="22"/>
      <c r="I34" s="21"/>
      <c r="J34" s="21"/>
      <c r="K34" s="21"/>
      <c r="L34" s="21"/>
      <c r="M34" s="21"/>
      <c r="N34" s="17"/>
      <c r="O34" s="83">
        <f t="shared" si="4"/>
        <v>0</v>
      </c>
      <c r="P34" s="84">
        <f t="shared" si="5"/>
        <v>0</v>
      </c>
      <c r="Q34" s="18" cm="1">
        <f t="array" aca="1" ref="Q34" ca="1">P34+O34+(RAND()*0.00000000000001+1/ROW(24:24)*0.000001)</f>
        <v>4.1666667339687352E-8</v>
      </c>
      <c r="R34" s="18" t="b">
        <f t="shared" si="0"/>
        <v>1</v>
      </c>
      <c r="S34" s="18" cm="1">
        <f t="array" ref="S34">SUMPRODUCT(($R$11:R34)*1)</f>
        <v>22</v>
      </c>
      <c r="U34" s="30" t="b">
        <f t="shared" si="6"/>
        <v>1</v>
      </c>
      <c r="V34" s="30" cm="1">
        <f t="array" ref="V34">SUMPRODUCT(($U$10:U34)*1)</f>
        <v>22</v>
      </c>
      <c r="W34" s="30"/>
      <c r="X34" s="30" cm="1">
        <f t="array" ref="X34">SUMPRODUCT($I$10:$M$10,(I34:M34&lt;&gt;"NA")*1)</f>
        <v>1</v>
      </c>
      <c r="Y34" s="30">
        <f t="shared" si="7"/>
        <v>0.3</v>
      </c>
      <c r="Z34" s="30">
        <f t="shared" si="8"/>
        <v>0.4</v>
      </c>
      <c r="AA34" s="30">
        <f t="shared" si="9"/>
        <v>0.3</v>
      </c>
      <c r="AB34" s="30">
        <f t="shared" si="10"/>
        <v>0</v>
      </c>
      <c r="AC34" s="30">
        <f t="shared" si="11"/>
        <v>0</v>
      </c>
      <c r="AD34" s="30" t="str">
        <f t="shared" si="12"/>
        <v/>
      </c>
      <c r="AE34" s="30" t="str">
        <f t="shared" si="13"/>
        <v>Readjusted weights: :30% :40% :30%    in this use case because      has/have NA values in it</v>
      </c>
      <c r="AF34" s="30" t="str">
        <f t="shared" si="14"/>
        <v/>
      </c>
      <c r="AG34" s="30" t="str">
        <f t="shared" si="15"/>
        <v/>
      </c>
      <c r="AH34" s="30" t="str">
        <f t="shared" si="16"/>
        <v/>
      </c>
      <c r="AI34" s="30" t="str">
        <f t="shared" si="17"/>
        <v/>
      </c>
      <c r="AJ34" s="30" t="str">
        <f t="shared" si="18"/>
        <v/>
      </c>
      <c r="AK34" s="18" cm="1">
        <f t="array" ref="AK34">SUMPRODUCT($C$10:$G$10,(C34:G34&lt;&gt;"NA")*1)</f>
        <v>1</v>
      </c>
      <c r="AL34" s="18">
        <f t="shared" si="19"/>
        <v>0.3</v>
      </c>
      <c r="AM34" s="18">
        <f t="shared" si="20"/>
        <v>0.4</v>
      </c>
      <c r="AN34" s="18">
        <f t="shared" si="21"/>
        <v>0.3</v>
      </c>
      <c r="AO34" s="18">
        <f t="shared" si="22"/>
        <v>0</v>
      </c>
      <c r="AP34" s="18">
        <f t="shared" si="23"/>
        <v>0</v>
      </c>
      <c r="AQ34" s="18" t="str">
        <f t="shared" si="24"/>
        <v/>
      </c>
      <c r="AR34" s="18" t="str">
        <f t="shared" si="25"/>
        <v>Readjusted weights: :30% :40% :30%    in this use case because      has/have NA values in it</v>
      </c>
      <c r="AS34" s="18" t="str">
        <f t="shared" si="26"/>
        <v/>
      </c>
      <c r="AT34" s="18" t="str">
        <f t="shared" si="27"/>
        <v/>
      </c>
      <c r="AU34" s="18" t="str">
        <f t="shared" si="28"/>
        <v/>
      </c>
      <c r="AV34" s="18" t="str">
        <f t="shared" si="29"/>
        <v/>
      </c>
      <c r="AW34" s="18" t="str">
        <f t="shared" si="30"/>
        <v/>
      </c>
      <c r="AX34" s="18">
        <f t="shared" si="31"/>
        <v>0</v>
      </c>
      <c r="AY34" s="18">
        <f t="shared" si="32"/>
        <v>0</v>
      </c>
    </row>
    <row r="35" spans="1:51">
      <c r="A35" s="27" t="str">
        <f>'Step 1 - Fill in Details'!C31</f>
        <v>UC25</v>
      </c>
      <c r="B35" s="9" t="b">
        <f>'Step 1 - Fill in Details'!D31</f>
        <v>0</v>
      </c>
      <c r="C35" s="21"/>
      <c r="D35" s="21"/>
      <c r="E35" s="21"/>
      <c r="F35" s="21"/>
      <c r="G35" s="21"/>
      <c r="H35" s="22"/>
      <c r="I35" s="21"/>
      <c r="J35" s="21"/>
      <c r="K35" s="21"/>
      <c r="L35" s="21"/>
      <c r="M35" s="21"/>
      <c r="N35" s="17"/>
      <c r="O35" s="83">
        <f t="shared" si="4"/>
        <v>0</v>
      </c>
      <c r="P35" s="84">
        <f t="shared" si="5"/>
        <v>0</v>
      </c>
      <c r="Q35" s="18" cm="1">
        <f t="array" aca="1" ref="Q35" ca="1">P35+O35+(RAND()*0.00000000000001+1/ROW(25:25)*0.000001)</f>
        <v>4.0000001907076768E-8</v>
      </c>
      <c r="R35" s="18" t="b">
        <f t="shared" si="0"/>
        <v>1</v>
      </c>
      <c r="S35" s="18" cm="1">
        <f t="array" ref="S35">SUMPRODUCT(($R$11:R35)*1)</f>
        <v>23</v>
      </c>
      <c r="U35" s="30" t="b">
        <f t="shared" si="6"/>
        <v>1</v>
      </c>
      <c r="V35" s="30" cm="1">
        <f t="array" ref="V35">SUMPRODUCT(($U$10:U35)*1)</f>
        <v>23</v>
      </c>
      <c r="W35" s="30"/>
      <c r="X35" s="30" cm="1">
        <f t="array" ref="X35">SUMPRODUCT($I$10:$M$10,(I35:M35&lt;&gt;"NA")*1)</f>
        <v>1</v>
      </c>
      <c r="Y35" s="30">
        <f t="shared" si="7"/>
        <v>0.3</v>
      </c>
      <c r="Z35" s="30">
        <f t="shared" si="8"/>
        <v>0.4</v>
      </c>
      <c r="AA35" s="30">
        <f t="shared" si="9"/>
        <v>0.3</v>
      </c>
      <c r="AB35" s="30">
        <f t="shared" si="10"/>
        <v>0</v>
      </c>
      <c r="AC35" s="30">
        <f t="shared" si="11"/>
        <v>0</v>
      </c>
      <c r="AD35" s="30" t="str">
        <f t="shared" si="12"/>
        <v/>
      </c>
      <c r="AE35" s="30" t="str">
        <f t="shared" si="13"/>
        <v>Readjusted weights: :30% :40% :30%    in this use case because      has/have NA values in it</v>
      </c>
      <c r="AF35" s="30" t="str">
        <f t="shared" si="14"/>
        <v/>
      </c>
      <c r="AG35" s="30" t="str">
        <f t="shared" si="15"/>
        <v/>
      </c>
      <c r="AH35" s="30" t="str">
        <f t="shared" si="16"/>
        <v/>
      </c>
      <c r="AI35" s="30" t="str">
        <f t="shared" si="17"/>
        <v/>
      </c>
      <c r="AJ35" s="30" t="str">
        <f t="shared" si="18"/>
        <v/>
      </c>
      <c r="AK35" s="18" cm="1">
        <f t="array" ref="AK35">SUMPRODUCT($C$10:$G$10,(C35:G35&lt;&gt;"NA")*1)</f>
        <v>1</v>
      </c>
      <c r="AL35" s="18">
        <f t="shared" si="19"/>
        <v>0.3</v>
      </c>
      <c r="AM35" s="18">
        <f t="shared" si="20"/>
        <v>0.4</v>
      </c>
      <c r="AN35" s="18">
        <f t="shared" si="21"/>
        <v>0.3</v>
      </c>
      <c r="AO35" s="18">
        <f t="shared" si="22"/>
        <v>0</v>
      </c>
      <c r="AP35" s="18">
        <f t="shared" si="23"/>
        <v>0</v>
      </c>
      <c r="AQ35" s="18" t="str">
        <f t="shared" si="24"/>
        <v/>
      </c>
      <c r="AR35" s="18" t="str">
        <f t="shared" si="25"/>
        <v>Readjusted weights: :30% :40% :30%    in this use case because      has/have NA values in it</v>
      </c>
      <c r="AS35" s="18" t="str">
        <f t="shared" si="26"/>
        <v/>
      </c>
      <c r="AT35" s="18" t="str">
        <f t="shared" si="27"/>
        <v/>
      </c>
      <c r="AU35" s="18" t="str">
        <f t="shared" si="28"/>
        <v/>
      </c>
      <c r="AV35" s="18" t="str">
        <f t="shared" si="29"/>
        <v/>
      </c>
      <c r="AW35" s="18" t="str">
        <f t="shared" si="30"/>
        <v/>
      </c>
      <c r="AX35" s="18">
        <f t="shared" si="31"/>
        <v>0</v>
      </c>
      <c r="AY35" s="18">
        <f t="shared" si="32"/>
        <v>0</v>
      </c>
    </row>
    <row r="36" spans="1:51" ht="15.75" customHeight="1">
      <c r="A36"/>
      <c r="B36"/>
      <c r="C36"/>
      <c r="D36"/>
      <c r="E36"/>
      <c r="F36"/>
      <c r="G36"/>
      <c r="H36"/>
      <c r="I36"/>
      <c r="J36"/>
      <c r="K36"/>
      <c r="L36"/>
      <c r="N36" s="17"/>
      <c r="Q36" s="23"/>
      <c r="U36" s="30"/>
      <c r="V36" s="30"/>
      <c r="W36" s="30"/>
      <c r="X36" s="30"/>
      <c r="Y36" s="30"/>
      <c r="Z36" s="30"/>
      <c r="AA36" s="30"/>
      <c r="AB36" s="30"/>
      <c r="AC36" s="30"/>
      <c r="AD36" s="30"/>
      <c r="AE36" s="30"/>
      <c r="AF36" s="30"/>
      <c r="AG36" s="30"/>
      <c r="AH36" s="30"/>
    </row>
    <row r="37" spans="1:51" ht="15.75" customHeight="1">
      <c r="A37"/>
      <c r="B37"/>
      <c r="C37"/>
      <c r="D37"/>
      <c r="E37"/>
      <c r="F37"/>
      <c r="G37"/>
      <c r="H37"/>
      <c r="I37"/>
      <c r="J37"/>
      <c r="K37"/>
      <c r="L37"/>
    </row>
    <row r="38" spans="1:51" ht="15.75" customHeight="1">
      <c r="A38"/>
      <c r="B38"/>
      <c r="C38"/>
      <c r="D38"/>
      <c r="E38"/>
      <c r="F38"/>
      <c r="G38"/>
      <c r="H38"/>
      <c r="I38"/>
      <c r="J38"/>
      <c r="K38"/>
      <c r="L38"/>
    </row>
    <row r="39" spans="1:51" ht="15.75" customHeight="1">
      <c r="A39"/>
      <c r="B39"/>
      <c r="C39"/>
      <c r="D39"/>
      <c r="E39"/>
      <c r="F39"/>
      <c r="G39"/>
      <c r="H39"/>
      <c r="I39"/>
      <c r="J39"/>
      <c r="K39"/>
      <c r="L39"/>
    </row>
  </sheetData>
  <sheetProtection algorithmName="SHA-512" hashValue="4kvGrasV97McB2ifU2qeWJhdCnjPhXsnOn4kPo6u9TUMHJQljjKQkURKxZknTv3B8QC0vbhYw4jcYmzIWKHi4Q==" saltValue="JBZzassvA7eiqtxDdVZhjQ==" spinCount="100000" sheet="1" selectLockedCells="1"/>
  <mergeCells count="4">
    <mergeCell ref="C5:M5"/>
    <mergeCell ref="O7:P7"/>
    <mergeCell ref="C7:G7"/>
    <mergeCell ref="I7:M7"/>
  </mergeCells>
  <phoneticPr fontId="8" type="noConversion"/>
  <conditionalFormatting sqref="A2">
    <cfRule type="expression" dxfId="21" priority="1">
      <formula>AND($C$8,$I$8)</formula>
    </cfRule>
  </conditionalFormatting>
  <conditionalFormatting sqref="A11:A35">
    <cfRule type="expression" dxfId="20" priority="18">
      <formula>B11</formula>
    </cfRule>
  </conditionalFormatting>
  <conditionalFormatting sqref="C12:E35 O11:P35">
    <cfRule type="expression" dxfId="19" priority="15">
      <formula>$S11=1</formula>
    </cfRule>
  </conditionalFormatting>
  <conditionalFormatting sqref="C11:G21 C12:E35 C34:G35">
    <cfRule type="expression" dxfId="18" priority="17">
      <formula>AND($B11,C$4)</formula>
    </cfRule>
  </conditionalFormatting>
  <conditionalFormatting sqref="C11:G35">
    <cfRule type="expression" dxfId="17" priority="5">
      <formula>$S11=1</formula>
    </cfRule>
  </conditionalFormatting>
  <conditionalFormatting sqref="C22:G33">
    <cfRule type="expression" dxfId="16" priority="6">
      <formula>AND($B22,C$4)</formula>
    </cfRule>
  </conditionalFormatting>
  <conditionalFormatting sqref="I11:M35">
    <cfRule type="expression" dxfId="15" priority="3">
      <formula>$S11=1</formula>
    </cfRule>
    <cfRule type="expression" dxfId="14" priority="4">
      <formula>AND($B11,I$4)</formula>
    </cfRule>
  </conditionalFormatting>
  <conditionalFormatting sqref="O11:P35">
    <cfRule type="expression" dxfId="13" priority="16">
      <formula>$R11</formula>
    </cfRule>
  </conditionalFormatting>
  <dataValidations count="4">
    <dataValidation type="decimal" operator="lessThanOrEqual" allowBlank="1" showDropDown="1" showInputMessage="1" showErrorMessage="1" prompt="Enter a number less than or equal to 4" sqref="F27:H35 L11:N35 K11" xr:uid="{A2017DB3-47E6-4E40-A9F5-E8D30D8A175E}">
      <formula1>4</formula1>
    </dataValidation>
    <dataValidation allowBlank="1" showInputMessage="1" showErrorMessage="1" promptTitle="Note:" prompt="This is inherent to the technology, industry and use case selected." sqref="I9" xr:uid="{5A297858-D161-483A-886F-1D39BCD1E711}"/>
    <dataValidation allowBlank="1" showInputMessage="1" showErrorMessage="1" promptTitle="Note:" prompt="Also called organizational or internal readiness, Includes internal stakeholder adoption, infrastructure readiness, organizational maturity, available staffing and so forth." sqref="J9" xr:uid="{5C0B59EC-633B-4F06-8906-26CFD1BB8DB6}"/>
    <dataValidation allowBlank="1" showInputMessage="1" showErrorMessage="1" promptTitle="Note" prompt="External feasibility or readiness includes regulatory constraints, ethical consideration, customer adoption risks, and external infrastructure" sqref="K9" xr:uid="{6E076BA0-084D-4130-BFF2-F2787AC56E09}"/>
  </dataValidation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AFB51-026F-4A5B-B7EC-526F5B823F7C}">
  <dimension ref="A3:Y42"/>
  <sheetViews>
    <sheetView showGridLines="0" showRowColHeaders="0" showZeros="0" workbookViewId="0">
      <selection activeCell="G17" sqref="G17"/>
    </sheetView>
  </sheetViews>
  <sheetFormatPr defaultRowHeight="15"/>
  <cols>
    <col min="1" max="1" width="1.7109375" style="9" customWidth="1"/>
    <col min="2" max="2" width="3.28515625" customWidth="1"/>
    <col min="3" max="3" width="31.7109375" bestFit="1" customWidth="1"/>
    <col min="4" max="4" width="1.5703125" customWidth="1"/>
    <col min="5" max="5" width="13.5703125" customWidth="1"/>
    <col min="6" max="6" width="1.5703125" customWidth="1"/>
    <col min="7" max="7" width="14" customWidth="1"/>
    <col min="8" max="8" width="1.5703125" customWidth="1"/>
    <col min="9" max="9" width="13.5703125" customWidth="1"/>
    <col min="10" max="10" width="1.5703125" customWidth="1"/>
    <col min="11" max="11" width="13.5703125" customWidth="1"/>
    <col min="12" max="12" width="1.5703125" customWidth="1"/>
    <col min="13" max="13" width="13.5703125" customWidth="1"/>
    <col min="14" max="14" width="2.85546875" customWidth="1"/>
    <col min="15" max="15" width="2" bestFit="1" customWidth="1"/>
    <col min="16" max="16" width="13.5703125" customWidth="1"/>
    <col min="17" max="17" width="2" bestFit="1" customWidth="1"/>
    <col min="18" max="18" width="13.5703125" customWidth="1"/>
    <col min="19" max="19" width="2" bestFit="1" customWidth="1"/>
    <col min="20" max="20" width="13.5703125" customWidth="1"/>
    <col min="21" max="21" width="1.5703125" customWidth="1"/>
    <col min="22" max="22" width="13.5703125" customWidth="1"/>
    <col min="23" max="23" width="1.5703125" customWidth="1"/>
    <col min="24" max="24" width="13.5703125" customWidth="1"/>
    <col min="25" max="25" width="3.140625" customWidth="1"/>
  </cols>
  <sheetData>
    <row r="3" spans="1:25">
      <c r="B3" s="128"/>
      <c r="C3" s="128"/>
      <c r="D3" s="128"/>
      <c r="E3" s="128"/>
      <c r="F3" s="128"/>
      <c r="G3" s="128"/>
      <c r="H3" s="128"/>
      <c r="I3" s="128"/>
      <c r="J3" s="128"/>
      <c r="K3" s="128"/>
      <c r="L3" s="128"/>
      <c r="M3" s="128"/>
      <c r="N3" s="128"/>
      <c r="O3" s="128"/>
      <c r="P3" s="128"/>
      <c r="Q3" s="128"/>
      <c r="R3" s="128"/>
      <c r="S3" s="128"/>
      <c r="T3" s="128"/>
      <c r="U3" s="128"/>
      <c r="V3" s="128"/>
      <c r="W3" s="128"/>
      <c r="X3" s="128"/>
      <c r="Y3" s="128"/>
    </row>
    <row r="4" spans="1:25" ht="18" customHeight="1">
      <c r="B4" s="128"/>
      <c r="C4" s="127"/>
      <c r="D4" s="85" t="str">
        <f>'Step 2 - Scoring'!C7</f>
        <v>Business Value</v>
      </c>
      <c r="E4" s="90"/>
      <c r="F4" s="86"/>
      <c r="G4" s="86"/>
      <c r="H4" s="86"/>
      <c r="I4" s="86"/>
      <c r="J4" s="86"/>
      <c r="K4" s="86"/>
      <c r="L4" s="86"/>
      <c r="M4" s="87"/>
      <c r="N4" s="7"/>
      <c r="O4" s="129" t="str">
        <f>'Step 2 - Scoring'!I7</f>
        <v>Feasibility</v>
      </c>
      <c r="P4" s="130"/>
      <c r="Q4" s="130"/>
      <c r="R4" s="130"/>
      <c r="S4" s="130"/>
      <c r="T4" s="130"/>
      <c r="U4" s="130"/>
      <c r="V4" s="130"/>
      <c r="W4" s="130"/>
      <c r="X4" s="131"/>
      <c r="Y4" s="128"/>
    </row>
    <row r="5" spans="1:25" ht="25.5">
      <c r="B5" s="128"/>
      <c r="C5" s="127"/>
      <c r="D5" s="88">
        <f>IFERROR(INDEX('Step 1 - Fill in Details'!$K$28:$M$37,MATCH('(VIEW) Symbol Sheet'!E5,'Step 1 - Fill in Details'!$L$28:$L$37,0),1),"")</f>
        <v>1</v>
      </c>
      <c r="E5" s="91" t="str">
        <f>'Step 2 - Scoring'!C9</f>
        <v>Cost Reduction</v>
      </c>
      <c r="F5" s="92">
        <f>IFERROR(INDEX('Step 1 - Fill in Details'!$K$28:$M$37,MATCH('(VIEW) Symbol Sheet'!G5,'Step 1 - Fill in Details'!$L$28:$L$37,0),1),"")</f>
        <v>2</v>
      </c>
      <c r="G5" s="91" t="str">
        <f>'Step 2 - Scoring'!D9</f>
        <v>Revenue Optimization</v>
      </c>
      <c r="H5" s="92">
        <f>IFERROR(INDEX('Step 1 - Fill in Details'!$K$28:$M$37,MATCH('(VIEW) Symbol Sheet'!I5,'Step 1 - Fill in Details'!$L$28:$L$37,0),1),"")</f>
        <v>3</v>
      </c>
      <c r="I5" s="91" t="str">
        <f>'Step 2 - Scoring'!E9</f>
        <v>CX Improvement</v>
      </c>
      <c r="J5" s="92" t="str">
        <f>IFERROR(INDEX('Step 1 - Fill in Details'!$K$28:$M$37,MATCH('(VIEW) Symbol Sheet'!K5,'Step 1 - Fill in Details'!$L$28:$L$37,0),1),"")</f>
        <v/>
      </c>
      <c r="K5" s="91" t="str">
        <f>'Step 2 - Scoring'!F9</f>
        <v/>
      </c>
      <c r="L5" s="92" t="str">
        <f>IFERROR(INDEX('Step 1 - Fill in Details'!$K$28:$M$37,MATCH('(VIEW) Symbol Sheet'!M5,'Step 1 - Fill in Details'!$L$28:$L$37,0),1),"")</f>
        <v/>
      </c>
      <c r="M5" s="89" t="str">
        <f>'Step 2 - Scoring'!G9</f>
        <v/>
      </c>
      <c r="N5" s="7"/>
      <c r="O5" s="93">
        <f>IFERROR(INDEX('Step 1 - Fill in Details'!$K$28:$M$37,MATCH('(VIEW) Symbol Sheet'!P5,'Step 1 - Fill in Details'!$L$28:$L$37,0),1),"")</f>
        <v>4</v>
      </c>
      <c r="P5" s="94" t="str">
        <f>'Step 2 - Scoring'!I9</f>
        <v>Technical</v>
      </c>
      <c r="Q5" s="95">
        <f>IFERROR(INDEX('Step 1 - Fill in Details'!$K$28:$M$37,MATCH('(VIEW) Symbol Sheet'!R5,'Step 1 - Fill in Details'!$L$28:$L$37,0),1),"")</f>
        <v>5</v>
      </c>
      <c r="R5" s="94" t="str">
        <f>'Step 2 - Scoring'!J9</f>
        <v>Internal</v>
      </c>
      <c r="S5" s="95">
        <f>IFERROR(INDEX('Step 1 - Fill in Details'!$K$28:$M$37,MATCH('(VIEW) Symbol Sheet'!T5,'Step 1 - Fill in Details'!$L$28:$L$37,0),1),"")</f>
        <v>6</v>
      </c>
      <c r="T5" s="94" t="str">
        <f>'Step 2 - Scoring'!K9</f>
        <v>External</v>
      </c>
      <c r="U5" s="96" t="str">
        <f>IFERROR(INDEX('Step 1 - Fill in Details'!$K$28:$M$37,MATCH('(VIEW) Symbol Sheet'!V5,'Step 1 - Fill in Details'!$L$28:$L$37,0),1),"")</f>
        <v/>
      </c>
      <c r="V5" s="94" t="str">
        <f>'Step 2 - Scoring'!L9</f>
        <v/>
      </c>
      <c r="W5" s="96" t="str">
        <f>IFERROR(INDEX('Step 1 - Fill in Details'!$K$28:$M$37,MATCH('(VIEW) Symbol Sheet'!X5,'Step 1 - Fill in Details'!$L$28:$L$37,0),1),"")</f>
        <v/>
      </c>
      <c r="X5" s="97" t="str">
        <f>'Step 2 - Scoring'!M9</f>
        <v/>
      </c>
      <c r="Y5" s="128"/>
    </row>
    <row r="6" spans="1:25" ht="16.149999999999999" customHeight="1">
      <c r="A6" s="9" t="b">
        <f>'Step 1 - Fill in Details'!D7</f>
        <v>1</v>
      </c>
      <c r="B6" s="128"/>
      <c r="C6" s="8" t="str">
        <f>'Step 1 - Fill in Details'!C7</f>
        <v>Example Use Case 1</v>
      </c>
      <c r="D6" s="8"/>
      <c r="E6" s="10" t="str" cm="1">
        <f t="array" ref="E6">_xlfn.IFS('Step 2 - Scoring'!C11= "", "", 'Step 2 - Scoring'!C11=0, "○", 'Step 2 - Scoring'!C11&lt;1.5, "◔",'Step 2 - Scoring'!C11&lt;=2, "◑", 'Step 2 - Scoring'!C11&lt;=3, "◕", 'Step 2 - Scoring'!C11&lt;=4, "⬤" )</f>
        <v>⬤</v>
      </c>
      <c r="F6" s="10"/>
      <c r="G6" s="10" t="str" cm="1">
        <f t="array" ref="G6">_xlfn.IFS('Step 2 - Scoring'!D11= "", "", 'Step 2 - Scoring'!D11=0, "○", 'Step 2 - Scoring'!D11&lt;1.5, "◔",'Step 2 - Scoring'!D11&lt;=2, "◑", 'Step 2 - Scoring'!D11&lt;=3, "◕", 'Step 2 - Scoring'!D11&lt;=4, "⬤" )</f>
        <v>○</v>
      </c>
      <c r="H6" s="10"/>
      <c r="I6" s="10" t="str" cm="1">
        <f t="array" ref="I6">_xlfn.IFS('Step 2 - Scoring'!E11= "", "", 'Step 2 - Scoring'!E11=0, "○", 'Step 2 - Scoring'!E11&lt;1.5, "◔",'Step 2 - Scoring'!E11&lt;=2, "◑", 'Step 2 - Scoring'!E11&lt;=3, "◕", 'Step 2 - Scoring'!E11&lt;=4, "⬤" )</f>
        <v>⬤</v>
      </c>
      <c r="J6" s="10"/>
      <c r="K6" s="10" t="str" cm="1">
        <f t="array" ref="K6">_xlfn.IFS('Step 2 - Scoring'!F11= "", "", 'Step 2 - Scoring'!F11=0, "○", 'Step 2 - Scoring'!F11&lt;1.5, "◔",'Step 2 - Scoring'!F11&lt;=2, "◑", 'Step 2 - Scoring'!F11&lt;=3, "◕", 'Step 2 - Scoring'!F11&lt;=4, "⬤" )</f>
        <v/>
      </c>
      <c r="L6" s="10"/>
      <c r="M6" s="10" t="str" cm="1">
        <f t="array" ref="M6">_xlfn.IFS('Step 2 - Scoring'!G11= "", "", 'Step 2 - Scoring'!G11=0, "○", 'Step 2 - Scoring'!G11&lt;1.5, "◔",'Step 2 - Scoring'!G11&lt;=2, "◑", 'Step 2 - Scoring'!G11&lt;=3, "◕", 'Step 2 - Scoring'!G11&lt;=4, "⬤" )</f>
        <v/>
      </c>
      <c r="N6" s="11"/>
      <c r="O6" s="54"/>
      <c r="P6" s="10" t="str" cm="1">
        <f t="array" ref="P6">IFERROR(_xlfn.IFS('Step 2 - Scoring'!I11= "", "", 'Step 2 - Scoring'!I11=0, "○", 'Step 2 - Scoring'!I11&lt;1.5, "◔",'Step 2 - Scoring'!I11&lt;=2, "◑", 'Step 2 - Scoring'!I11&lt;=3, "◕", 'Step 2 - Scoring'!I11&lt;=4, "⬤" ),"-")</f>
        <v>-</v>
      </c>
      <c r="Q6" s="10"/>
      <c r="R6" s="10" t="str" cm="1">
        <f t="array" ref="R6">IFERROR(_xlfn.IFS('Step 2 - Scoring'!J11= "", "", 'Step 2 - Scoring'!J11=0, "○", 'Step 2 - Scoring'!J11&lt;1.5, "◔",'Step 2 - Scoring'!J11&lt;=2, "◑", 'Step 2 - Scoring'!J11&lt;=3, "◕", 'Step 2 - Scoring'!J11&lt;=4, "⬤" ),"-")</f>
        <v>◑</v>
      </c>
      <c r="S6" s="10"/>
      <c r="T6" s="10" t="str" cm="1">
        <f t="array" ref="T6">IFERROR(_xlfn.IFS('Step 2 - Scoring'!K11= "", "", 'Step 2 - Scoring'!K11=0, "○", 'Step 2 - Scoring'!K11&lt;1.5, "◔",'Step 2 - Scoring'!K11&lt;=2, "◑", 'Step 2 - Scoring'!K11&lt;=3, "◕", 'Step 2 - Scoring'!K11&lt;=4, "⬤" ),"-")</f>
        <v>◔</v>
      </c>
      <c r="U6" s="10"/>
      <c r="V6" s="10" t="str" cm="1">
        <f t="array" ref="V6">IFERROR(_xlfn.IFS('Step 2 - Scoring'!L11= "", "", 'Step 2 - Scoring'!L11=0, "○", 'Step 2 - Scoring'!L11&lt;1.5, "◔",'Step 2 - Scoring'!L11&lt;=2, "◑", 'Step 2 - Scoring'!L11&lt;=3, "◕", 'Step 2 - Scoring'!L11&lt;=4, "⬤" ),"-")</f>
        <v/>
      </c>
      <c r="W6" s="10"/>
      <c r="X6" s="10" t="str" cm="1">
        <f t="array" ref="X6">IFERROR(_xlfn.IFS('Step 2 - Scoring'!M11= "", "", 'Step 2 - Scoring'!M11=0, "○", 'Step 2 - Scoring'!M11&lt;1.5, "◔",'Step 2 - Scoring'!M11&lt;=2, "◑", 'Step 2 - Scoring'!M11&lt;=3, "◕", 'Step 2 - Scoring'!M11&lt;=4, "⬤" ),"-")</f>
        <v/>
      </c>
      <c r="Y6" s="128"/>
    </row>
    <row r="7" spans="1:25" ht="16.149999999999999" customHeight="1">
      <c r="A7" s="9" t="b">
        <f>'Step 1 - Fill in Details'!D8</f>
        <v>1</v>
      </c>
      <c r="B7" s="128"/>
      <c r="C7" s="8" t="str">
        <f>'Step 1 - Fill in Details'!C8</f>
        <v>Example Use Case 2</v>
      </c>
      <c r="D7" s="8"/>
      <c r="E7" s="10" t="str" cm="1">
        <f t="array" ref="E7">_xlfn.IFS('Step 2 - Scoring'!C12= "", "", 'Step 2 - Scoring'!C12=0, "○", 'Step 2 - Scoring'!C12&lt;1.5, "◔",'Step 2 - Scoring'!C12&lt;=2, "◑", 'Step 2 - Scoring'!C12&lt;=3, "◕", 'Step 2 - Scoring'!C12&lt;=4, "⬤" )</f>
        <v>◔</v>
      </c>
      <c r="F7" s="10"/>
      <c r="G7" s="10" t="str" cm="1">
        <f t="array" ref="G7">_xlfn.IFS('Step 2 - Scoring'!D12= "", "", 'Step 2 - Scoring'!D12=0, "○", 'Step 2 - Scoring'!D12&lt;1.5, "◔",'Step 2 - Scoring'!D12&lt;=2, "◑", 'Step 2 - Scoring'!D12&lt;=3, "◕", 'Step 2 - Scoring'!D12&lt;=4, "⬤" )</f>
        <v>○</v>
      </c>
      <c r="H7" s="10"/>
      <c r="I7" s="10" t="str" cm="1">
        <f t="array" ref="I7">_xlfn.IFS('Step 2 - Scoring'!E12= "", "", 'Step 2 - Scoring'!E12=0, "○", 'Step 2 - Scoring'!E12&lt;1.5, "◔",'Step 2 - Scoring'!E12&lt;=2, "◑", 'Step 2 - Scoring'!E12&lt;=3, "◕", 'Step 2 - Scoring'!E12&lt;=4, "⬤" )</f>
        <v>◕</v>
      </c>
      <c r="J7" s="10"/>
      <c r="K7" s="10" t="str" cm="1">
        <f t="array" ref="K7">_xlfn.IFS('Step 2 - Scoring'!F12= "", "", 'Step 2 - Scoring'!F12=0, "○", 'Step 2 - Scoring'!F12&lt;1.5, "◔",'Step 2 - Scoring'!F12&lt;=2, "◑", 'Step 2 - Scoring'!F12&lt;=3, "◕", 'Step 2 - Scoring'!F12&lt;=4, "⬤" )</f>
        <v/>
      </c>
      <c r="L7" s="10"/>
      <c r="M7" s="10" t="str" cm="1">
        <f t="array" ref="M7">_xlfn.IFS('Step 2 - Scoring'!G12= "", "", 'Step 2 - Scoring'!G12=0, "○", 'Step 2 - Scoring'!G12&lt;1.5, "◔",'Step 2 - Scoring'!G12&lt;=2, "◑", 'Step 2 - Scoring'!G12&lt;=3, "◕", 'Step 2 - Scoring'!G12&lt;=4, "⬤" )</f>
        <v/>
      </c>
      <c r="N7" s="11"/>
      <c r="O7" s="54"/>
      <c r="P7" s="10" t="str" cm="1">
        <f t="array" ref="P7">IFERROR(_xlfn.IFS('Step 2 - Scoring'!I12= "", "", 'Step 2 - Scoring'!I12=0, "○", 'Step 2 - Scoring'!I12&lt;1.5, "◔",'Step 2 - Scoring'!I12&lt;=2, "◑", 'Step 2 - Scoring'!I12&lt;=3, "◕", 'Step 2 - Scoring'!I12&lt;=4, "⬤" ),"-")</f>
        <v>-</v>
      </c>
      <c r="Q7" s="10"/>
      <c r="R7" s="10" t="str" cm="1">
        <f t="array" ref="R7">IFERROR(_xlfn.IFS('Step 2 - Scoring'!J12= "", "", 'Step 2 - Scoring'!J12=0, "○", 'Step 2 - Scoring'!J12&lt;1.5, "◔",'Step 2 - Scoring'!J12&lt;=2, "◑", 'Step 2 - Scoring'!J12&lt;=3, "◕", 'Step 2 - Scoring'!J12&lt;=4, "⬤" ),"-")</f>
        <v>-</v>
      </c>
      <c r="S7" s="10"/>
      <c r="T7" s="10" t="str" cm="1">
        <f t="array" ref="T7">IFERROR(_xlfn.IFS('Step 2 - Scoring'!K12= "", "", 'Step 2 - Scoring'!K12=0, "○", 'Step 2 - Scoring'!K12&lt;1.5, "◔",'Step 2 - Scoring'!K12&lt;=2, "◑", 'Step 2 - Scoring'!K12&lt;=3, "◕", 'Step 2 - Scoring'!K12&lt;=4, "⬤" ),"-")</f>
        <v>◔</v>
      </c>
      <c r="U7" s="10"/>
      <c r="V7" s="10" t="str" cm="1">
        <f t="array" ref="V7">IFERROR(_xlfn.IFS('Step 2 - Scoring'!L12= "", "", 'Step 2 - Scoring'!L12=0, "○", 'Step 2 - Scoring'!L12&lt;1.5, "◔",'Step 2 - Scoring'!L12&lt;=2, "◑", 'Step 2 - Scoring'!L12&lt;=3, "◕", 'Step 2 - Scoring'!L12&lt;=4, "⬤" ),"-")</f>
        <v/>
      </c>
      <c r="W7" s="10"/>
      <c r="X7" s="10" t="str" cm="1">
        <f t="array" ref="X7">IFERROR(_xlfn.IFS('Step 2 - Scoring'!M12= "", "", 'Step 2 - Scoring'!M12=0, "○", 'Step 2 - Scoring'!M12&lt;1.5, "◔",'Step 2 - Scoring'!M12&lt;=2, "◑", 'Step 2 - Scoring'!M12&lt;=3, "◕", 'Step 2 - Scoring'!M12&lt;=4, "⬤" ),"-")</f>
        <v/>
      </c>
      <c r="Y7" s="128"/>
    </row>
    <row r="8" spans="1:25" ht="16.149999999999999" customHeight="1">
      <c r="A8" s="9" t="b">
        <f>'Step 1 - Fill in Details'!D9</f>
        <v>0</v>
      </c>
      <c r="B8" s="128"/>
      <c r="C8" s="8" t="str">
        <f>'Step 1 - Fill in Details'!C9</f>
        <v>UC3</v>
      </c>
      <c r="D8" s="8"/>
      <c r="E8" s="10" t="str" cm="1">
        <f t="array" ref="E8">_xlfn.IFS('Step 2 - Scoring'!C13= "", "", 'Step 2 - Scoring'!C13=0, "○", 'Step 2 - Scoring'!C13&lt;1.5, "◔",'Step 2 - Scoring'!C13&lt;=2, "◑", 'Step 2 - Scoring'!C13&lt;=3, "◕", 'Step 2 - Scoring'!C13&lt;=4, "⬤" )</f>
        <v/>
      </c>
      <c r="F8" s="10"/>
      <c r="G8" s="10" t="str" cm="1">
        <f t="array" ref="G8">_xlfn.IFS('Step 2 - Scoring'!D13= "", "", 'Step 2 - Scoring'!D13=0, "○", 'Step 2 - Scoring'!D13&lt;1.5, "◔",'Step 2 - Scoring'!D13&lt;=2, "◑", 'Step 2 - Scoring'!D13&lt;=3, "◕", 'Step 2 - Scoring'!D13&lt;=4, "⬤" )</f>
        <v/>
      </c>
      <c r="H8" s="10"/>
      <c r="I8" s="10" t="str" cm="1">
        <f t="array" ref="I8">_xlfn.IFS('Step 2 - Scoring'!E13= "", "", 'Step 2 - Scoring'!E13=0, "○", 'Step 2 - Scoring'!E13&lt;1.5, "◔",'Step 2 - Scoring'!E13&lt;=2, "◑", 'Step 2 - Scoring'!E13&lt;=3, "◕", 'Step 2 - Scoring'!E13&lt;=4, "⬤" )</f>
        <v/>
      </c>
      <c r="J8" s="10"/>
      <c r="K8" s="10" t="str" cm="1">
        <f t="array" ref="K8">_xlfn.IFS('Step 2 - Scoring'!F13= "", "", 'Step 2 - Scoring'!F13=0, "○", 'Step 2 - Scoring'!F13&lt;1.5, "◔",'Step 2 - Scoring'!F13&lt;=2, "◑", 'Step 2 - Scoring'!F13&lt;=3, "◕", 'Step 2 - Scoring'!F13&lt;=4, "⬤" )</f>
        <v/>
      </c>
      <c r="L8" s="10"/>
      <c r="M8" s="10" t="str" cm="1">
        <f t="array" ref="M8">_xlfn.IFS('Step 2 - Scoring'!G13= "", "", 'Step 2 - Scoring'!G13=0, "○", 'Step 2 - Scoring'!G13&lt;1.5, "◔",'Step 2 - Scoring'!G13&lt;=2, "◑", 'Step 2 - Scoring'!G13&lt;=3, "◕", 'Step 2 - Scoring'!G13&lt;=4, "⬤" )</f>
        <v/>
      </c>
      <c r="N8" s="11"/>
      <c r="O8" s="54"/>
      <c r="P8" s="10" t="str" cm="1">
        <f t="array" ref="P8">IFERROR(_xlfn.IFS('Step 2 - Scoring'!I13= "", "", 'Step 2 - Scoring'!I13=0, "○", 'Step 2 - Scoring'!I13&lt;1.5, "◔",'Step 2 - Scoring'!I13&lt;=2, "◑", 'Step 2 - Scoring'!I13&lt;=3, "◕", 'Step 2 - Scoring'!I13&lt;=4, "⬤" ),"-")</f>
        <v/>
      </c>
      <c r="Q8" s="10"/>
      <c r="R8" s="10" t="str" cm="1">
        <f t="array" ref="R8">IFERROR(_xlfn.IFS('Step 2 - Scoring'!J13= "", "", 'Step 2 - Scoring'!J13=0, "○", 'Step 2 - Scoring'!J13&lt;1.5, "◔",'Step 2 - Scoring'!J13&lt;=2, "◑", 'Step 2 - Scoring'!J13&lt;=3, "◕", 'Step 2 - Scoring'!J13&lt;=4, "⬤" ),"-")</f>
        <v/>
      </c>
      <c r="S8" s="10"/>
      <c r="T8" s="10" t="str" cm="1">
        <f t="array" ref="T8">IFERROR(_xlfn.IFS('Step 2 - Scoring'!K13= "", "", 'Step 2 - Scoring'!K13=0, "○", 'Step 2 - Scoring'!K13&lt;1.5, "◔",'Step 2 - Scoring'!K13&lt;=2, "◑", 'Step 2 - Scoring'!K13&lt;=3, "◕", 'Step 2 - Scoring'!K13&lt;=4, "⬤" ),"-")</f>
        <v/>
      </c>
      <c r="U8" s="10"/>
      <c r="V8" s="10" t="str" cm="1">
        <f t="array" ref="V8">IFERROR(_xlfn.IFS('Step 2 - Scoring'!L13= "", "", 'Step 2 - Scoring'!L13=0, "○", 'Step 2 - Scoring'!L13&lt;1.5, "◔",'Step 2 - Scoring'!L13&lt;=2, "◑", 'Step 2 - Scoring'!L13&lt;=3, "◕", 'Step 2 - Scoring'!L13&lt;=4, "⬤" ),"-")</f>
        <v/>
      </c>
      <c r="W8" s="10"/>
      <c r="X8" s="10" t="str" cm="1">
        <f t="array" ref="X8">IFERROR(_xlfn.IFS('Step 2 - Scoring'!M13= "", "", 'Step 2 - Scoring'!M13=0, "○", 'Step 2 - Scoring'!M13&lt;1.5, "◔",'Step 2 - Scoring'!M13&lt;=2, "◑", 'Step 2 - Scoring'!M13&lt;=3, "◕", 'Step 2 - Scoring'!M13&lt;=4, "⬤" ),"-")</f>
        <v/>
      </c>
      <c r="Y8" s="128"/>
    </row>
    <row r="9" spans="1:25" ht="16.149999999999999" customHeight="1">
      <c r="A9" s="9" t="b">
        <f>'Step 1 - Fill in Details'!D10</f>
        <v>0</v>
      </c>
      <c r="B9" s="128"/>
      <c r="C9" s="8" t="str">
        <f>'Step 1 - Fill in Details'!C10</f>
        <v>UC4</v>
      </c>
      <c r="D9" s="8"/>
      <c r="E9" s="10" t="str" cm="1">
        <f t="array" ref="E9">_xlfn.IFS('Step 2 - Scoring'!C14= "", "", 'Step 2 - Scoring'!C14=0, "○", 'Step 2 - Scoring'!C14&lt;1.5, "◔",'Step 2 - Scoring'!C14&lt;=2, "◑", 'Step 2 - Scoring'!C14&lt;=3, "◕", 'Step 2 - Scoring'!C14&lt;=4, "⬤" )</f>
        <v/>
      </c>
      <c r="F9" s="10"/>
      <c r="G9" s="10" t="str" cm="1">
        <f t="array" ref="G9">_xlfn.IFS('Step 2 - Scoring'!D14= "", "", 'Step 2 - Scoring'!D14=0, "○", 'Step 2 - Scoring'!D14&lt;1.5, "◔",'Step 2 - Scoring'!D14&lt;=2, "◑", 'Step 2 - Scoring'!D14&lt;=3, "◕", 'Step 2 - Scoring'!D14&lt;=4, "⬤" )</f>
        <v/>
      </c>
      <c r="H9" s="10"/>
      <c r="I9" s="10" t="str" cm="1">
        <f t="array" ref="I9">_xlfn.IFS('Step 2 - Scoring'!E14= "", "", 'Step 2 - Scoring'!E14=0, "○", 'Step 2 - Scoring'!E14&lt;1.5, "◔",'Step 2 - Scoring'!E14&lt;=2, "◑", 'Step 2 - Scoring'!E14&lt;=3, "◕", 'Step 2 - Scoring'!E14&lt;=4, "⬤" )</f>
        <v/>
      </c>
      <c r="J9" s="10"/>
      <c r="K9" s="10" t="str" cm="1">
        <f t="array" ref="K9">_xlfn.IFS('Step 2 - Scoring'!F14= "", "", 'Step 2 - Scoring'!F14=0, "○", 'Step 2 - Scoring'!F14&lt;1.5, "◔",'Step 2 - Scoring'!F14&lt;=2, "◑", 'Step 2 - Scoring'!F14&lt;=3, "◕", 'Step 2 - Scoring'!F14&lt;=4, "⬤" )</f>
        <v/>
      </c>
      <c r="L9" s="10"/>
      <c r="M9" s="10" t="str" cm="1">
        <f t="array" ref="M9">_xlfn.IFS('Step 2 - Scoring'!G14= "", "", 'Step 2 - Scoring'!G14=0, "○", 'Step 2 - Scoring'!G14&lt;1.5, "◔",'Step 2 - Scoring'!G14&lt;=2, "◑", 'Step 2 - Scoring'!G14&lt;=3, "◕", 'Step 2 - Scoring'!G14&lt;=4, "⬤" )</f>
        <v/>
      </c>
      <c r="N9" s="11"/>
      <c r="O9" s="54"/>
      <c r="P9" s="10" t="str" cm="1">
        <f t="array" ref="P9">IFERROR(_xlfn.IFS('Step 2 - Scoring'!I14= "", "", 'Step 2 - Scoring'!I14=0, "○", 'Step 2 - Scoring'!I14&lt;1.5, "◔",'Step 2 - Scoring'!I14&lt;=2, "◑", 'Step 2 - Scoring'!I14&lt;=3, "◕", 'Step 2 - Scoring'!I14&lt;=4, "⬤" ),"-")</f>
        <v/>
      </c>
      <c r="Q9" s="10"/>
      <c r="R9" s="10" t="str" cm="1">
        <f t="array" ref="R9">IFERROR(_xlfn.IFS('Step 2 - Scoring'!J14= "", "", 'Step 2 - Scoring'!J14=0, "○", 'Step 2 - Scoring'!J14&lt;1.5, "◔",'Step 2 - Scoring'!J14&lt;=2, "◑", 'Step 2 - Scoring'!J14&lt;=3, "◕", 'Step 2 - Scoring'!J14&lt;=4, "⬤" ),"-")</f>
        <v/>
      </c>
      <c r="S9" s="10"/>
      <c r="T9" s="10" t="str" cm="1">
        <f t="array" ref="T9">IFERROR(_xlfn.IFS('Step 2 - Scoring'!K14= "", "", 'Step 2 - Scoring'!K14=0, "○", 'Step 2 - Scoring'!K14&lt;1.5, "◔",'Step 2 - Scoring'!K14&lt;=2, "◑", 'Step 2 - Scoring'!K14&lt;=3, "◕", 'Step 2 - Scoring'!K14&lt;=4, "⬤" ),"-")</f>
        <v/>
      </c>
      <c r="U9" s="10"/>
      <c r="V9" s="10" t="str" cm="1">
        <f t="array" ref="V9">IFERROR(_xlfn.IFS('Step 2 - Scoring'!L14= "", "", 'Step 2 - Scoring'!L14=0, "○", 'Step 2 - Scoring'!L14&lt;1.5, "◔",'Step 2 - Scoring'!L14&lt;=2, "◑", 'Step 2 - Scoring'!L14&lt;=3, "◕", 'Step 2 - Scoring'!L14&lt;=4, "⬤" ),"-")</f>
        <v/>
      </c>
      <c r="W9" s="10"/>
      <c r="X9" s="10" t="str" cm="1">
        <f t="array" ref="X9">IFERROR(_xlfn.IFS('Step 2 - Scoring'!M14= "", "", 'Step 2 - Scoring'!M14=0, "○", 'Step 2 - Scoring'!M14&lt;1.5, "◔",'Step 2 - Scoring'!M14&lt;=2, "◑", 'Step 2 - Scoring'!M14&lt;=3, "◕", 'Step 2 - Scoring'!M14&lt;=4, "⬤" ),"-")</f>
        <v/>
      </c>
      <c r="Y9" s="128"/>
    </row>
    <row r="10" spans="1:25" ht="16.149999999999999" customHeight="1">
      <c r="A10" s="9" t="b">
        <f>'Step 1 - Fill in Details'!D11</f>
        <v>0</v>
      </c>
      <c r="B10" s="128"/>
      <c r="C10" s="8" t="str">
        <f>'Step 1 - Fill in Details'!C11</f>
        <v>UC5</v>
      </c>
      <c r="D10" s="8"/>
      <c r="E10" s="10" t="str" cm="1">
        <f t="array" ref="E10">_xlfn.IFS('Step 2 - Scoring'!C15= "", "", 'Step 2 - Scoring'!C15=0, "○", 'Step 2 - Scoring'!C15&lt;1.5, "◔",'Step 2 - Scoring'!C15&lt;=2, "◑", 'Step 2 - Scoring'!C15&lt;=3, "◕", 'Step 2 - Scoring'!C15&lt;=4, "⬤" )</f>
        <v/>
      </c>
      <c r="F10" s="10"/>
      <c r="G10" s="10" t="str" cm="1">
        <f t="array" ref="G10">_xlfn.IFS('Step 2 - Scoring'!D15= "", "", 'Step 2 - Scoring'!D15=0, "○", 'Step 2 - Scoring'!D15&lt;1.5, "◔",'Step 2 - Scoring'!D15&lt;=2, "◑", 'Step 2 - Scoring'!D15&lt;=3, "◕", 'Step 2 - Scoring'!D15&lt;=4, "⬤" )</f>
        <v/>
      </c>
      <c r="H10" s="10"/>
      <c r="I10" s="10" t="str" cm="1">
        <f t="array" ref="I10">_xlfn.IFS('Step 2 - Scoring'!E15= "", "", 'Step 2 - Scoring'!E15=0, "○", 'Step 2 - Scoring'!E15&lt;1.5, "◔",'Step 2 - Scoring'!E15&lt;=2, "◑", 'Step 2 - Scoring'!E15&lt;=3, "◕", 'Step 2 - Scoring'!E15&lt;=4, "⬤" )</f>
        <v/>
      </c>
      <c r="J10" s="10"/>
      <c r="K10" s="10" t="str" cm="1">
        <f t="array" ref="K10">_xlfn.IFS('Step 2 - Scoring'!F15= "", "", 'Step 2 - Scoring'!F15=0, "○", 'Step 2 - Scoring'!F15&lt;1.5, "◔",'Step 2 - Scoring'!F15&lt;=2, "◑", 'Step 2 - Scoring'!F15&lt;=3, "◕", 'Step 2 - Scoring'!F15&lt;=4, "⬤" )</f>
        <v/>
      </c>
      <c r="L10" s="10"/>
      <c r="M10" s="10" t="str" cm="1">
        <f t="array" ref="M10">_xlfn.IFS('Step 2 - Scoring'!G15= "", "", 'Step 2 - Scoring'!G15=0, "○", 'Step 2 - Scoring'!G15&lt;1.5, "◔",'Step 2 - Scoring'!G15&lt;=2, "◑", 'Step 2 - Scoring'!G15&lt;=3, "◕", 'Step 2 - Scoring'!G15&lt;=4, "⬤" )</f>
        <v/>
      </c>
      <c r="N10" s="11"/>
      <c r="O10" s="54"/>
      <c r="P10" s="10" t="str" cm="1">
        <f t="array" ref="P10">IFERROR(_xlfn.IFS('Step 2 - Scoring'!I15= "", "", 'Step 2 - Scoring'!I15=0, "○", 'Step 2 - Scoring'!I15&lt;1.5, "◔",'Step 2 - Scoring'!I15&lt;=2, "◑", 'Step 2 - Scoring'!I15&lt;=3, "◕", 'Step 2 - Scoring'!I15&lt;=4, "⬤" ),"-")</f>
        <v/>
      </c>
      <c r="Q10" s="10"/>
      <c r="R10" s="10" t="str" cm="1">
        <f t="array" ref="R10">IFERROR(_xlfn.IFS('Step 2 - Scoring'!J15= "", "", 'Step 2 - Scoring'!J15=0, "○", 'Step 2 - Scoring'!J15&lt;1.5, "◔",'Step 2 - Scoring'!J15&lt;=2, "◑", 'Step 2 - Scoring'!J15&lt;=3, "◕", 'Step 2 - Scoring'!J15&lt;=4, "⬤" ),"-")</f>
        <v/>
      </c>
      <c r="S10" s="10"/>
      <c r="T10" s="10" t="str" cm="1">
        <f t="array" ref="T10">IFERROR(_xlfn.IFS('Step 2 - Scoring'!K15= "", "", 'Step 2 - Scoring'!K15=0, "○", 'Step 2 - Scoring'!K15&lt;1.5, "◔",'Step 2 - Scoring'!K15&lt;=2, "◑", 'Step 2 - Scoring'!K15&lt;=3, "◕", 'Step 2 - Scoring'!K15&lt;=4, "⬤" ),"-")</f>
        <v/>
      </c>
      <c r="U10" s="10"/>
      <c r="V10" s="10" t="str" cm="1">
        <f t="array" ref="V10">IFERROR(_xlfn.IFS('Step 2 - Scoring'!L15= "", "", 'Step 2 - Scoring'!L15=0, "○", 'Step 2 - Scoring'!L15&lt;1.5, "◔",'Step 2 - Scoring'!L15&lt;=2, "◑", 'Step 2 - Scoring'!L15&lt;=3, "◕", 'Step 2 - Scoring'!L15&lt;=4, "⬤" ),"-")</f>
        <v/>
      </c>
      <c r="W10" s="10"/>
      <c r="X10" s="10" t="str" cm="1">
        <f t="array" ref="X10">IFERROR(_xlfn.IFS('Step 2 - Scoring'!M15= "", "", 'Step 2 - Scoring'!M15=0, "○", 'Step 2 - Scoring'!M15&lt;1.5, "◔",'Step 2 - Scoring'!M15&lt;=2, "◑", 'Step 2 - Scoring'!M15&lt;=3, "◕", 'Step 2 - Scoring'!M15&lt;=4, "⬤" ),"-")</f>
        <v/>
      </c>
      <c r="Y10" s="128"/>
    </row>
    <row r="11" spans="1:25" ht="16.149999999999999" customHeight="1">
      <c r="A11" s="9" t="b">
        <f>'Step 1 - Fill in Details'!D12</f>
        <v>0</v>
      </c>
      <c r="B11" s="128"/>
      <c r="C11" s="8" t="str">
        <f>'Step 1 - Fill in Details'!C12</f>
        <v>UC6</v>
      </c>
      <c r="D11" s="8"/>
      <c r="E11" s="10" t="str" cm="1">
        <f t="array" ref="E11">_xlfn.IFS('Step 2 - Scoring'!C16= "", "", 'Step 2 - Scoring'!C16=0, "○", 'Step 2 - Scoring'!C16&lt;1.5, "◔",'Step 2 - Scoring'!C16&lt;=2, "◑", 'Step 2 - Scoring'!C16&lt;=3, "◕", 'Step 2 - Scoring'!C16&lt;=4, "⬤" )</f>
        <v/>
      </c>
      <c r="F11" s="10"/>
      <c r="G11" s="10" t="str" cm="1">
        <f t="array" ref="G11">_xlfn.IFS('Step 2 - Scoring'!D16= "", "", 'Step 2 - Scoring'!D16=0, "○", 'Step 2 - Scoring'!D16&lt;1.5, "◔",'Step 2 - Scoring'!D16&lt;=2, "◑", 'Step 2 - Scoring'!D16&lt;=3, "◕", 'Step 2 - Scoring'!D16&lt;=4, "⬤" )</f>
        <v/>
      </c>
      <c r="H11" s="10"/>
      <c r="I11" s="10" t="str" cm="1">
        <f t="array" ref="I11">_xlfn.IFS('Step 2 - Scoring'!E16= "", "", 'Step 2 - Scoring'!E16=0, "○", 'Step 2 - Scoring'!E16&lt;1.5, "◔",'Step 2 - Scoring'!E16&lt;=2, "◑", 'Step 2 - Scoring'!E16&lt;=3, "◕", 'Step 2 - Scoring'!E16&lt;=4, "⬤" )</f>
        <v/>
      </c>
      <c r="J11" s="10"/>
      <c r="K11" s="10" t="str" cm="1">
        <f t="array" ref="K11">_xlfn.IFS('Step 2 - Scoring'!F16= "", "", 'Step 2 - Scoring'!F16=0, "○", 'Step 2 - Scoring'!F16&lt;1.5, "◔",'Step 2 - Scoring'!F16&lt;=2, "◑", 'Step 2 - Scoring'!F16&lt;=3, "◕", 'Step 2 - Scoring'!F16&lt;=4, "⬤" )</f>
        <v/>
      </c>
      <c r="L11" s="10"/>
      <c r="M11" s="10" t="str" cm="1">
        <f t="array" ref="M11">_xlfn.IFS('Step 2 - Scoring'!G16= "", "", 'Step 2 - Scoring'!G16=0, "○", 'Step 2 - Scoring'!G16&lt;1.5, "◔",'Step 2 - Scoring'!G16&lt;=2, "◑", 'Step 2 - Scoring'!G16&lt;=3, "◕", 'Step 2 - Scoring'!G16&lt;=4, "⬤" )</f>
        <v/>
      </c>
      <c r="N11" s="11"/>
      <c r="O11" s="54"/>
      <c r="P11" s="10" t="str" cm="1">
        <f t="array" ref="P11">IFERROR(_xlfn.IFS('Step 2 - Scoring'!I16= "", "", 'Step 2 - Scoring'!I16=0, "○", 'Step 2 - Scoring'!I16&lt;1.5, "◔",'Step 2 - Scoring'!I16&lt;=2, "◑", 'Step 2 - Scoring'!I16&lt;=3, "◕", 'Step 2 - Scoring'!I16&lt;=4, "⬤" ),"-")</f>
        <v/>
      </c>
      <c r="Q11" s="10"/>
      <c r="R11" s="10" t="str" cm="1">
        <f t="array" ref="R11">IFERROR(_xlfn.IFS('Step 2 - Scoring'!J16= "", "", 'Step 2 - Scoring'!J16=0, "○", 'Step 2 - Scoring'!J16&lt;1.5, "◔",'Step 2 - Scoring'!J16&lt;=2, "◑", 'Step 2 - Scoring'!J16&lt;=3, "◕", 'Step 2 - Scoring'!J16&lt;=4, "⬤" ),"-")</f>
        <v/>
      </c>
      <c r="S11" s="10"/>
      <c r="T11" s="10" t="str" cm="1">
        <f t="array" ref="T11">IFERROR(_xlfn.IFS('Step 2 - Scoring'!K16= "", "", 'Step 2 - Scoring'!K16=0, "○", 'Step 2 - Scoring'!K16&lt;1.5, "◔",'Step 2 - Scoring'!K16&lt;=2, "◑", 'Step 2 - Scoring'!K16&lt;=3, "◕", 'Step 2 - Scoring'!K16&lt;=4, "⬤" ),"-")</f>
        <v/>
      </c>
      <c r="U11" s="10"/>
      <c r="V11" s="10" t="str" cm="1">
        <f t="array" ref="V11">IFERROR(_xlfn.IFS('Step 2 - Scoring'!L16= "", "", 'Step 2 - Scoring'!L16=0, "○", 'Step 2 - Scoring'!L16&lt;1.5, "◔",'Step 2 - Scoring'!L16&lt;=2, "◑", 'Step 2 - Scoring'!L16&lt;=3, "◕", 'Step 2 - Scoring'!L16&lt;=4, "⬤" ),"-")</f>
        <v/>
      </c>
      <c r="W11" s="10"/>
      <c r="X11" s="10" t="str" cm="1">
        <f t="array" ref="X11">IFERROR(_xlfn.IFS('Step 2 - Scoring'!M16= "", "", 'Step 2 - Scoring'!M16=0, "○", 'Step 2 - Scoring'!M16&lt;1.5, "◔",'Step 2 - Scoring'!M16&lt;=2, "◑", 'Step 2 - Scoring'!M16&lt;=3, "◕", 'Step 2 - Scoring'!M16&lt;=4, "⬤" ),"-")</f>
        <v/>
      </c>
      <c r="Y11" s="128"/>
    </row>
    <row r="12" spans="1:25" ht="16.149999999999999" customHeight="1">
      <c r="A12" s="9" t="b">
        <f>'Step 1 - Fill in Details'!D13</f>
        <v>0</v>
      </c>
      <c r="B12" s="128"/>
      <c r="C12" s="8" t="str">
        <f>'Step 1 - Fill in Details'!C13</f>
        <v>UC7</v>
      </c>
      <c r="D12" s="8"/>
      <c r="E12" s="10" t="str" cm="1">
        <f t="array" ref="E12">_xlfn.IFS('Step 2 - Scoring'!C17= "", "", 'Step 2 - Scoring'!C17=0, "○", 'Step 2 - Scoring'!C17&lt;1.5, "◔",'Step 2 - Scoring'!C17&lt;=2, "◑", 'Step 2 - Scoring'!C17&lt;=3, "◕", 'Step 2 - Scoring'!C17&lt;=4, "⬤" )</f>
        <v/>
      </c>
      <c r="F12" s="10"/>
      <c r="G12" s="10" t="str" cm="1">
        <f t="array" ref="G12">_xlfn.IFS('Step 2 - Scoring'!D17= "", "", 'Step 2 - Scoring'!D17=0, "○", 'Step 2 - Scoring'!D17&lt;1.5, "◔",'Step 2 - Scoring'!D17&lt;=2, "◑", 'Step 2 - Scoring'!D17&lt;=3, "◕", 'Step 2 - Scoring'!D17&lt;=4, "⬤" )</f>
        <v/>
      </c>
      <c r="H12" s="10"/>
      <c r="I12" s="10" t="str" cm="1">
        <f t="array" ref="I12">_xlfn.IFS('Step 2 - Scoring'!E17= "", "", 'Step 2 - Scoring'!E17=0, "○", 'Step 2 - Scoring'!E17&lt;1.5, "◔",'Step 2 - Scoring'!E17&lt;=2, "◑", 'Step 2 - Scoring'!E17&lt;=3, "◕", 'Step 2 - Scoring'!E17&lt;=4, "⬤" )</f>
        <v/>
      </c>
      <c r="J12" s="10"/>
      <c r="K12" s="10" t="str" cm="1">
        <f t="array" ref="K12">_xlfn.IFS('Step 2 - Scoring'!F17= "", "", 'Step 2 - Scoring'!F17=0, "○", 'Step 2 - Scoring'!F17&lt;1.5, "◔",'Step 2 - Scoring'!F17&lt;=2, "◑", 'Step 2 - Scoring'!F17&lt;=3, "◕", 'Step 2 - Scoring'!F17&lt;=4, "⬤" )</f>
        <v/>
      </c>
      <c r="L12" s="10"/>
      <c r="M12" s="10" t="str" cm="1">
        <f t="array" ref="M12">_xlfn.IFS('Step 2 - Scoring'!G17= "", "", 'Step 2 - Scoring'!G17=0, "○", 'Step 2 - Scoring'!G17&lt;1.5, "◔",'Step 2 - Scoring'!G17&lt;=2, "◑", 'Step 2 - Scoring'!G17&lt;=3, "◕", 'Step 2 - Scoring'!G17&lt;=4, "⬤" )</f>
        <v/>
      </c>
      <c r="N12" s="11"/>
      <c r="O12" s="54"/>
      <c r="P12" s="10" t="str" cm="1">
        <f t="array" ref="P12">IFERROR(_xlfn.IFS('Step 2 - Scoring'!I17= "", "", 'Step 2 - Scoring'!I17=0, "○", 'Step 2 - Scoring'!I17&lt;1.5, "◔",'Step 2 - Scoring'!I17&lt;=2, "◑", 'Step 2 - Scoring'!I17&lt;=3, "◕", 'Step 2 - Scoring'!I17&lt;=4, "⬤" ),"-")</f>
        <v/>
      </c>
      <c r="Q12" s="10"/>
      <c r="R12" s="10" t="str" cm="1">
        <f t="array" ref="R12">IFERROR(_xlfn.IFS('Step 2 - Scoring'!J17= "", "", 'Step 2 - Scoring'!J17=0, "○", 'Step 2 - Scoring'!J17&lt;1.5, "◔",'Step 2 - Scoring'!J17&lt;=2, "◑", 'Step 2 - Scoring'!J17&lt;=3, "◕", 'Step 2 - Scoring'!J17&lt;=4, "⬤" ),"-")</f>
        <v/>
      </c>
      <c r="S12" s="10"/>
      <c r="T12" s="10" t="str" cm="1">
        <f t="array" ref="T12">IFERROR(_xlfn.IFS('Step 2 - Scoring'!K17= "", "", 'Step 2 - Scoring'!K17=0, "○", 'Step 2 - Scoring'!K17&lt;1.5, "◔",'Step 2 - Scoring'!K17&lt;=2, "◑", 'Step 2 - Scoring'!K17&lt;=3, "◕", 'Step 2 - Scoring'!K17&lt;=4, "⬤" ),"-")</f>
        <v/>
      </c>
      <c r="U12" s="10"/>
      <c r="V12" s="10" t="str" cm="1">
        <f t="array" ref="V12">IFERROR(_xlfn.IFS('Step 2 - Scoring'!L17= "", "", 'Step 2 - Scoring'!L17=0, "○", 'Step 2 - Scoring'!L17&lt;1.5, "◔",'Step 2 - Scoring'!L17&lt;=2, "◑", 'Step 2 - Scoring'!L17&lt;=3, "◕", 'Step 2 - Scoring'!L17&lt;=4, "⬤" ),"-")</f>
        <v/>
      </c>
      <c r="W12" s="10"/>
      <c r="X12" s="10" t="str" cm="1">
        <f t="array" ref="X12">IFERROR(_xlfn.IFS('Step 2 - Scoring'!M17= "", "", 'Step 2 - Scoring'!M17=0, "○", 'Step 2 - Scoring'!M17&lt;1.5, "◔",'Step 2 - Scoring'!M17&lt;=2, "◑", 'Step 2 - Scoring'!M17&lt;=3, "◕", 'Step 2 - Scoring'!M17&lt;=4, "⬤" ),"-")</f>
        <v/>
      </c>
      <c r="Y12" s="128"/>
    </row>
    <row r="13" spans="1:25" ht="16.149999999999999" customHeight="1">
      <c r="A13" s="9" t="b">
        <f>'Step 1 - Fill in Details'!D14</f>
        <v>0</v>
      </c>
      <c r="B13" s="128"/>
      <c r="C13" s="8" t="str">
        <f>'Step 1 - Fill in Details'!C14</f>
        <v>UC8</v>
      </c>
      <c r="D13" s="8"/>
      <c r="E13" s="10" t="str" cm="1">
        <f t="array" ref="E13">_xlfn.IFS('Step 2 - Scoring'!C18= "", "", 'Step 2 - Scoring'!C18=0, "○", 'Step 2 - Scoring'!C18&lt;1.5, "◔",'Step 2 - Scoring'!C18&lt;=2, "◑", 'Step 2 - Scoring'!C18&lt;=3, "◕", 'Step 2 - Scoring'!C18&lt;=4, "⬤" )</f>
        <v/>
      </c>
      <c r="F13" s="10"/>
      <c r="G13" s="10" t="str" cm="1">
        <f t="array" ref="G13">_xlfn.IFS('Step 2 - Scoring'!D18= "", "", 'Step 2 - Scoring'!D18=0, "○", 'Step 2 - Scoring'!D18&lt;1.5, "◔",'Step 2 - Scoring'!D18&lt;=2, "◑", 'Step 2 - Scoring'!D18&lt;=3, "◕", 'Step 2 - Scoring'!D18&lt;=4, "⬤" )</f>
        <v/>
      </c>
      <c r="H13" s="10"/>
      <c r="I13" s="10" t="str" cm="1">
        <f t="array" ref="I13">_xlfn.IFS('Step 2 - Scoring'!E18= "", "", 'Step 2 - Scoring'!E18=0, "○", 'Step 2 - Scoring'!E18&lt;1.5, "◔",'Step 2 - Scoring'!E18&lt;=2, "◑", 'Step 2 - Scoring'!E18&lt;=3, "◕", 'Step 2 - Scoring'!E18&lt;=4, "⬤" )</f>
        <v/>
      </c>
      <c r="J13" s="10"/>
      <c r="K13" s="10" t="str" cm="1">
        <f t="array" ref="K13">_xlfn.IFS('Step 2 - Scoring'!F18= "", "", 'Step 2 - Scoring'!F18=0, "○", 'Step 2 - Scoring'!F18&lt;1.5, "◔",'Step 2 - Scoring'!F18&lt;=2, "◑", 'Step 2 - Scoring'!F18&lt;=3, "◕", 'Step 2 - Scoring'!F18&lt;=4, "⬤" )</f>
        <v/>
      </c>
      <c r="L13" s="10"/>
      <c r="M13" s="10" t="str" cm="1">
        <f t="array" ref="M13">_xlfn.IFS('Step 2 - Scoring'!G18= "", "", 'Step 2 - Scoring'!G18=0, "○", 'Step 2 - Scoring'!G18&lt;1.5, "◔",'Step 2 - Scoring'!G18&lt;=2, "◑", 'Step 2 - Scoring'!G18&lt;=3, "◕", 'Step 2 - Scoring'!G18&lt;=4, "⬤" )</f>
        <v/>
      </c>
      <c r="N13" s="11"/>
      <c r="O13" s="54"/>
      <c r="P13" s="10" t="str" cm="1">
        <f t="array" ref="P13">IFERROR(_xlfn.IFS('Step 2 - Scoring'!I18= "", "", 'Step 2 - Scoring'!I18=0, "○", 'Step 2 - Scoring'!I18&lt;1.5, "◔",'Step 2 - Scoring'!I18&lt;=2, "◑", 'Step 2 - Scoring'!I18&lt;=3, "◕", 'Step 2 - Scoring'!I18&lt;=4, "⬤" ),"-")</f>
        <v/>
      </c>
      <c r="Q13" s="10"/>
      <c r="R13" s="10" t="str" cm="1">
        <f t="array" ref="R13">IFERROR(_xlfn.IFS('Step 2 - Scoring'!J18= "", "", 'Step 2 - Scoring'!J18=0, "○", 'Step 2 - Scoring'!J18&lt;1.5, "◔",'Step 2 - Scoring'!J18&lt;=2, "◑", 'Step 2 - Scoring'!J18&lt;=3, "◕", 'Step 2 - Scoring'!J18&lt;=4, "⬤" ),"-")</f>
        <v/>
      </c>
      <c r="S13" s="10"/>
      <c r="T13" s="10" t="str" cm="1">
        <f t="array" ref="T13">IFERROR(_xlfn.IFS('Step 2 - Scoring'!K18= "", "", 'Step 2 - Scoring'!K18=0, "○", 'Step 2 - Scoring'!K18&lt;1.5, "◔",'Step 2 - Scoring'!K18&lt;=2, "◑", 'Step 2 - Scoring'!K18&lt;=3, "◕", 'Step 2 - Scoring'!K18&lt;=4, "⬤" ),"-")</f>
        <v/>
      </c>
      <c r="U13" s="10"/>
      <c r="V13" s="10" t="str" cm="1">
        <f t="array" ref="V13">IFERROR(_xlfn.IFS('Step 2 - Scoring'!L18= "", "", 'Step 2 - Scoring'!L18=0, "○", 'Step 2 - Scoring'!L18&lt;1.5, "◔",'Step 2 - Scoring'!L18&lt;=2, "◑", 'Step 2 - Scoring'!L18&lt;=3, "◕", 'Step 2 - Scoring'!L18&lt;=4, "⬤" ),"-")</f>
        <v/>
      </c>
      <c r="W13" s="10"/>
      <c r="X13" s="10" t="str" cm="1">
        <f t="array" ref="X13">IFERROR(_xlfn.IFS('Step 2 - Scoring'!M18= "", "", 'Step 2 - Scoring'!M18=0, "○", 'Step 2 - Scoring'!M18&lt;1.5, "◔",'Step 2 - Scoring'!M18&lt;=2, "◑", 'Step 2 - Scoring'!M18&lt;=3, "◕", 'Step 2 - Scoring'!M18&lt;=4, "⬤" ),"-")</f>
        <v/>
      </c>
      <c r="Y13" s="128"/>
    </row>
    <row r="14" spans="1:25" ht="16.149999999999999" customHeight="1">
      <c r="A14" s="9" t="b">
        <f>'Step 1 - Fill in Details'!D15</f>
        <v>0</v>
      </c>
      <c r="B14" s="128"/>
      <c r="C14" s="8" t="str">
        <f>'Step 1 - Fill in Details'!C15</f>
        <v>UC9</v>
      </c>
      <c r="D14" s="8"/>
      <c r="E14" s="10" t="str" cm="1">
        <f t="array" ref="E14">_xlfn.IFS('Step 2 - Scoring'!C19= "", "", 'Step 2 - Scoring'!C19=0, "○", 'Step 2 - Scoring'!C19&lt;1.5, "◔",'Step 2 - Scoring'!C19&lt;=2, "◑", 'Step 2 - Scoring'!C19&lt;=3, "◕", 'Step 2 - Scoring'!C19&lt;=4, "⬤" )</f>
        <v/>
      </c>
      <c r="F14" s="10"/>
      <c r="G14" s="10" t="str" cm="1">
        <f t="array" ref="G14">_xlfn.IFS('Step 2 - Scoring'!D19= "", "", 'Step 2 - Scoring'!D19=0, "○", 'Step 2 - Scoring'!D19&lt;1.5, "◔",'Step 2 - Scoring'!D19&lt;=2, "◑", 'Step 2 - Scoring'!D19&lt;=3, "◕", 'Step 2 - Scoring'!D19&lt;=4, "⬤" )</f>
        <v/>
      </c>
      <c r="H14" s="10"/>
      <c r="I14" s="10" t="str" cm="1">
        <f t="array" ref="I14">_xlfn.IFS('Step 2 - Scoring'!E19= "", "", 'Step 2 - Scoring'!E19=0, "○", 'Step 2 - Scoring'!E19&lt;1.5, "◔",'Step 2 - Scoring'!E19&lt;=2, "◑", 'Step 2 - Scoring'!E19&lt;=3, "◕", 'Step 2 - Scoring'!E19&lt;=4, "⬤" )</f>
        <v/>
      </c>
      <c r="J14" s="10"/>
      <c r="K14" s="10" t="str" cm="1">
        <f t="array" ref="K14">_xlfn.IFS('Step 2 - Scoring'!F19= "", "", 'Step 2 - Scoring'!F19=0, "○", 'Step 2 - Scoring'!F19&lt;1.5, "◔",'Step 2 - Scoring'!F19&lt;=2, "◑", 'Step 2 - Scoring'!F19&lt;=3, "◕", 'Step 2 - Scoring'!F19&lt;=4, "⬤" )</f>
        <v/>
      </c>
      <c r="L14" s="10"/>
      <c r="M14" s="10" t="str" cm="1">
        <f t="array" ref="M14">_xlfn.IFS('Step 2 - Scoring'!G19= "", "", 'Step 2 - Scoring'!G19=0, "○", 'Step 2 - Scoring'!G19&lt;1.5, "◔",'Step 2 - Scoring'!G19&lt;=2, "◑", 'Step 2 - Scoring'!G19&lt;=3, "◕", 'Step 2 - Scoring'!G19&lt;=4, "⬤" )</f>
        <v/>
      </c>
      <c r="N14" s="11"/>
      <c r="O14" s="54"/>
      <c r="P14" s="10" t="str" cm="1">
        <f t="array" ref="P14">IFERROR(_xlfn.IFS('Step 2 - Scoring'!I19= "", "", 'Step 2 - Scoring'!I19=0, "○", 'Step 2 - Scoring'!I19&lt;1.5, "◔",'Step 2 - Scoring'!I19&lt;=2, "◑", 'Step 2 - Scoring'!I19&lt;=3, "◕", 'Step 2 - Scoring'!I19&lt;=4, "⬤" ),"-")</f>
        <v/>
      </c>
      <c r="Q14" s="10"/>
      <c r="R14" s="10" t="str" cm="1">
        <f t="array" ref="R14">IFERROR(_xlfn.IFS('Step 2 - Scoring'!J19= "", "", 'Step 2 - Scoring'!J19=0, "○", 'Step 2 - Scoring'!J19&lt;1.5, "◔",'Step 2 - Scoring'!J19&lt;=2, "◑", 'Step 2 - Scoring'!J19&lt;=3, "◕", 'Step 2 - Scoring'!J19&lt;=4, "⬤" ),"-")</f>
        <v/>
      </c>
      <c r="S14" s="10"/>
      <c r="T14" s="10" t="str" cm="1">
        <f t="array" ref="T14">IFERROR(_xlfn.IFS('Step 2 - Scoring'!K19= "", "", 'Step 2 - Scoring'!K19=0, "○", 'Step 2 - Scoring'!K19&lt;1.5, "◔",'Step 2 - Scoring'!K19&lt;=2, "◑", 'Step 2 - Scoring'!K19&lt;=3, "◕", 'Step 2 - Scoring'!K19&lt;=4, "⬤" ),"-")</f>
        <v/>
      </c>
      <c r="U14" s="10"/>
      <c r="V14" s="10" t="str" cm="1">
        <f t="array" ref="V14">IFERROR(_xlfn.IFS('Step 2 - Scoring'!L19= "", "", 'Step 2 - Scoring'!L19=0, "○", 'Step 2 - Scoring'!L19&lt;1.5, "◔",'Step 2 - Scoring'!L19&lt;=2, "◑", 'Step 2 - Scoring'!L19&lt;=3, "◕", 'Step 2 - Scoring'!L19&lt;=4, "⬤" ),"-")</f>
        <v/>
      </c>
      <c r="W14" s="10"/>
      <c r="X14" s="10" t="str" cm="1">
        <f t="array" ref="X14">IFERROR(_xlfn.IFS('Step 2 - Scoring'!M19= "", "", 'Step 2 - Scoring'!M19=0, "○", 'Step 2 - Scoring'!M19&lt;1.5, "◔",'Step 2 - Scoring'!M19&lt;=2, "◑", 'Step 2 - Scoring'!M19&lt;=3, "◕", 'Step 2 - Scoring'!M19&lt;=4, "⬤" ),"-")</f>
        <v/>
      </c>
      <c r="Y14" s="128"/>
    </row>
    <row r="15" spans="1:25" ht="16.149999999999999" customHeight="1">
      <c r="A15" s="9" t="b">
        <f>'Step 1 - Fill in Details'!D16</f>
        <v>0</v>
      </c>
      <c r="B15" s="128"/>
      <c r="C15" s="8" t="str">
        <f>'Step 1 - Fill in Details'!C16</f>
        <v>UC10</v>
      </c>
      <c r="D15" s="8"/>
      <c r="E15" s="10" t="str" cm="1">
        <f t="array" ref="E15">_xlfn.IFS('Step 2 - Scoring'!C20= "", "", 'Step 2 - Scoring'!C20=0, "○", 'Step 2 - Scoring'!C20&lt;1.5, "◔",'Step 2 - Scoring'!C20&lt;=2, "◑", 'Step 2 - Scoring'!C20&lt;=3, "◕", 'Step 2 - Scoring'!C20&lt;=4, "⬤" )</f>
        <v/>
      </c>
      <c r="F15" s="10"/>
      <c r="G15" s="10" t="str" cm="1">
        <f t="array" ref="G15">_xlfn.IFS('Step 2 - Scoring'!D20= "", "", 'Step 2 - Scoring'!D20=0, "○", 'Step 2 - Scoring'!D20&lt;1.5, "◔",'Step 2 - Scoring'!D20&lt;=2, "◑", 'Step 2 - Scoring'!D20&lt;=3, "◕", 'Step 2 - Scoring'!D20&lt;=4, "⬤" )</f>
        <v/>
      </c>
      <c r="H15" s="10"/>
      <c r="I15" s="10" t="str" cm="1">
        <f t="array" ref="I15">_xlfn.IFS('Step 2 - Scoring'!E20= "", "", 'Step 2 - Scoring'!E20=0, "○", 'Step 2 - Scoring'!E20&lt;1.5, "◔",'Step 2 - Scoring'!E20&lt;=2, "◑", 'Step 2 - Scoring'!E20&lt;=3, "◕", 'Step 2 - Scoring'!E20&lt;=4, "⬤" )</f>
        <v/>
      </c>
      <c r="J15" s="10"/>
      <c r="K15" s="10" t="str" cm="1">
        <f t="array" ref="K15">_xlfn.IFS('Step 2 - Scoring'!F20= "", "", 'Step 2 - Scoring'!F20=0, "○", 'Step 2 - Scoring'!F20&lt;1.5, "◔",'Step 2 - Scoring'!F20&lt;=2, "◑", 'Step 2 - Scoring'!F20&lt;=3, "◕", 'Step 2 - Scoring'!F20&lt;=4, "⬤" )</f>
        <v/>
      </c>
      <c r="L15" s="10"/>
      <c r="M15" s="10" t="str" cm="1">
        <f t="array" ref="M15">_xlfn.IFS('Step 2 - Scoring'!G20= "", "", 'Step 2 - Scoring'!G20=0, "○", 'Step 2 - Scoring'!G20&lt;1.5, "◔",'Step 2 - Scoring'!G20&lt;=2, "◑", 'Step 2 - Scoring'!G20&lt;=3, "◕", 'Step 2 - Scoring'!G20&lt;=4, "⬤" )</f>
        <v/>
      </c>
      <c r="N15" s="11"/>
      <c r="O15" s="54"/>
      <c r="P15" s="10" t="str" cm="1">
        <f t="array" ref="P15">IFERROR(_xlfn.IFS('Step 2 - Scoring'!I20= "", "", 'Step 2 - Scoring'!I20=0, "○", 'Step 2 - Scoring'!I20&lt;1.5, "◔",'Step 2 - Scoring'!I20&lt;=2, "◑", 'Step 2 - Scoring'!I20&lt;=3, "◕", 'Step 2 - Scoring'!I20&lt;=4, "⬤" ),"-")</f>
        <v/>
      </c>
      <c r="Q15" s="10"/>
      <c r="R15" s="10" t="str" cm="1">
        <f t="array" ref="R15">IFERROR(_xlfn.IFS('Step 2 - Scoring'!J20= "", "", 'Step 2 - Scoring'!J20=0, "○", 'Step 2 - Scoring'!J20&lt;1.5, "◔",'Step 2 - Scoring'!J20&lt;=2, "◑", 'Step 2 - Scoring'!J20&lt;=3, "◕", 'Step 2 - Scoring'!J20&lt;=4, "⬤" ),"-")</f>
        <v/>
      </c>
      <c r="S15" s="10"/>
      <c r="T15" s="10" t="str" cm="1">
        <f t="array" ref="T15">IFERROR(_xlfn.IFS('Step 2 - Scoring'!K20= "", "", 'Step 2 - Scoring'!K20=0, "○", 'Step 2 - Scoring'!K20&lt;1.5, "◔",'Step 2 - Scoring'!K20&lt;=2, "◑", 'Step 2 - Scoring'!K20&lt;=3, "◕", 'Step 2 - Scoring'!K20&lt;=4, "⬤" ),"-")</f>
        <v/>
      </c>
      <c r="U15" s="10"/>
      <c r="V15" s="10" t="str" cm="1">
        <f t="array" ref="V15">IFERROR(_xlfn.IFS('Step 2 - Scoring'!L20= "", "", 'Step 2 - Scoring'!L20=0, "○", 'Step 2 - Scoring'!L20&lt;1.5, "◔",'Step 2 - Scoring'!L20&lt;=2, "◑", 'Step 2 - Scoring'!L20&lt;=3, "◕", 'Step 2 - Scoring'!L20&lt;=4, "⬤" ),"-")</f>
        <v/>
      </c>
      <c r="W15" s="10"/>
      <c r="X15" s="10" t="str" cm="1">
        <f t="array" ref="X15">IFERROR(_xlfn.IFS('Step 2 - Scoring'!M20= "", "", 'Step 2 - Scoring'!M20=0, "○", 'Step 2 - Scoring'!M20&lt;1.5, "◔",'Step 2 - Scoring'!M20&lt;=2, "◑", 'Step 2 - Scoring'!M20&lt;=3, "◕", 'Step 2 - Scoring'!M20&lt;=4, "⬤" ),"-")</f>
        <v/>
      </c>
      <c r="Y15" s="128"/>
    </row>
    <row r="16" spans="1:25" ht="16.149999999999999" customHeight="1">
      <c r="A16" s="9" t="b">
        <f>'Step 1 - Fill in Details'!D17</f>
        <v>0</v>
      </c>
      <c r="B16" s="128"/>
      <c r="C16" s="8" t="str">
        <f>'Step 1 - Fill in Details'!C17</f>
        <v>UC11</v>
      </c>
      <c r="D16" s="8"/>
      <c r="E16" s="10" t="str" cm="1">
        <f t="array" ref="E16">_xlfn.IFS('Step 2 - Scoring'!C21= "", "", 'Step 2 - Scoring'!C21=0, "○", 'Step 2 - Scoring'!C21&lt;1.5, "◔",'Step 2 - Scoring'!C21&lt;=2, "◑", 'Step 2 - Scoring'!C21&lt;=3, "◕", 'Step 2 - Scoring'!C21&lt;=4, "⬤" )</f>
        <v/>
      </c>
      <c r="F16" s="10"/>
      <c r="G16" s="10" t="str" cm="1">
        <f t="array" ref="G16">_xlfn.IFS('Step 2 - Scoring'!D21= "", "", 'Step 2 - Scoring'!D21=0, "○", 'Step 2 - Scoring'!D21&lt;1.5, "◔",'Step 2 - Scoring'!D21&lt;=2, "◑", 'Step 2 - Scoring'!D21&lt;=3, "◕", 'Step 2 - Scoring'!D21&lt;=4, "⬤" )</f>
        <v/>
      </c>
      <c r="H16" s="10"/>
      <c r="I16" s="10" t="str" cm="1">
        <f t="array" ref="I16">_xlfn.IFS('Step 2 - Scoring'!E21= "", "", 'Step 2 - Scoring'!E21=0, "○", 'Step 2 - Scoring'!E21&lt;1.5, "◔",'Step 2 - Scoring'!E21&lt;=2, "◑", 'Step 2 - Scoring'!E21&lt;=3, "◕", 'Step 2 - Scoring'!E21&lt;=4, "⬤" )</f>
        <v/>
      </c>
      <c r="J16" s="10"/>
      <c r="K16" s="10" t="str" cm="1">
        <f t="array" ref="K16">_xlfn.IFS('Step 2 - Scoring'!F21= "", "", 'Step 2 - Scoring'!F21=0, "○", 'Step 2 - Scoring'!F21&lt;1.5, "◔",'Step 2 - Scoring'!F21&lt;=2, "◑", 'Step 2 - Scoring'!F21&lt;=3, "◕", 'Step 2 - Scoring'!F21&lt;=4, "⬤" )</f>
        <v/>
      </c>
      <c r="L16" s="10"/>
      <c r="M16" s="10" t="str" cm="1">
        <f t="array" ref="M16">_xlfn.IFS('Step 2 - Scoring'!G21= "", "", 'Step 2 - Scoring'!G21=0, "○", 'Step 2 - Scoring'!G21&lt;1.5, "◔",'Step 2 - Scoring'!G21&lt;=2, "◑", 'Step 2 - Scoring'!G21&lt;=3, "◕", 'Step 2 - Scoring'!G21&lt;=4, "⬤" )</f>
        <v/>
      </c>
      <c r="N16" s="11"/>
      <c r="O16" s="54"/>
      <c r="P16" s="10" t="str" cm="1">
        <f t="array" ref="P16">IFERROR(_xlfn.IFS('Step 2 - Scoring'!I21= "", "", 'Step 2 - Scoring'!I21=0, "○", 'Step 2 - Scoring'!I21&lt;1.5, "◔",'Step 2 - Scoring'!I21&lt;=2, "◑", 'Step 2 - Scoring'!I21&lt;=3, "◕", 'Step 2 - Scoring'!I21&lt;=4, "⬤" ),"-")</f>
        <v/>
      </c>
      <c r="Q16" s="10"/>
      <c r="R16" s="10" t="str" cm="1">
        <f t="array" ref="R16">IFERROR(_xlfn.IFS('Step 2 - Scoring'!J21= "", "", 'Step 2 - Scoring'!J21=0, "○", 'Step 2 - Scoring'!J21&lt;1.5, "◔",'Step 2 - Scoring'!J21&lt;=2, "◑", 'Step 2 - Scoring'!J21&lt;=3, "◕", 'Step 2 - Scoring'!J21&lt;=4, "⬤" ),"-")</f>
        <v/>
      </c>
      <c r="S16" s="10"/>
      <c r="T16" s="10" t="str" cm="1">
        <f t="array" ref="T16">IFERROR(_xlfn.IFS('Step 2 - Scoring'!K21= "", "", 'Step 2 - Scoring'!K21=0, "○", 'Step 2 - Scoring'!K21&lt;1.5, "◔",'Step 2 - Scoring'!K21&lt;=2, "◑", 'Step 2 - Scoring'!K21&lt;=3, "◕", 'Step 2 - Scoring'!K21&lt;=4, "⬤" ),"-")</f>
        <v/>
      </c>
      <c r="U16" s="10"/>
      <c r="V16" s="10" t="str" cm="1">
        <f t="array" ref="V16">IFERROR(_xlfn.IFS('Step 2 - Scoring'!L21= "", "", 'Step 2 - Scoring'!L21=0, "○", 'Step 2 - Scoring'!L21&lt;1.5, "◔",'Step 2 - Scoring'!L21&lt;=2, "◑", 'Step 2 - Scoring'!L21&lt;=3, "◕", 'Step 2 - Scoring'!L21&lt;=4, "⬤" ),"-")</f>
        <v/>
      </c>
      <c r="W16" s="10"/>
      <c r="X16" s="10" t="str" cm="1">
        <f t="array" ref="X16">IFERROR(_xlfn.IFS('Step 2 - Scoring'!M21= "", "", 'Step 2 - Scoring'!M21=0, "○", 'Step 2 - Scoring'!M21&lt;1.5, "◔",'Step 2 - Scoring'!M21&lt;=2, "◑", 'Step 2 - Scoring'!M21&lt;=3, "◕", 'Step 2 - Scoring'!M21&lt;=4, "⬤" ),"-")</f>
        <v/>
      </c>
      <c r="Y16" s="128"/>
    </row>
    <row r="17" spans="1:25" ht="16.149999999999999" customHeight="1">
      <c r="A17" s="9" t="b">
        <f>'Step 1 - Fill in Details'!D18</f>
        <v>0</v>
      </c>
      <c r="B17" s="128"/>
      <c r="C17" s="8" t="str">
        <f>'Step 1 - Fill in Details'!C18</f>
        <v>UC12</v>
      </c>
      <c r="D17" s="8"/>
      <c r="E17" s="10" t="str" cm="1">
        <f t="array" ref="E17">_xlfn.IFS('Step 2 - Scoring'!C22= "", "", 'Step 2 - Scoring'!C22=0, "○", 'Step 2 - Scoring'!C22&lt;1.5, "◔",'Step 2 - Scoring'!C22&lt;=2, "◑", 'Step 2 - Scoring'!C22&lt;=3, "◕", 'Step 2 - Scoring'!C22&lt;=4, "⬤" )</f>
        <v/>
      </c>
      <c r="F17" s="10"/>
      <c r="G17" s="10" t="str" cm="1">
        <f t="array" ref="G17">_xlfn.IFS('Step 2 - Scoring'!D22= "", "", 'Step 2 - Scoring'!D22=0, "○", 'Step 2 - Scoring'!D22&lt;1.5, "◔",'Step 2 - Scoring'!D22&lt;=2, "◑", 'Step 2 - Scoring'!D22&lt;=3, "◕", 'Step 2 - Scoring'!D22&lt;=4, "⬤" )</f>
        <v/>
      </c>
      <c r="H17" s="10"/>
      <c r="I17" s="10" t="str" cm="1">
        <f t="array" ref="I17">_xlfn.IFS('Step 2 - Scoring'!E22= "", "", 'Step 2 - Scoring'!E22=0, "○", 'Step 2 - Scoring'!E22&lt;1.5, "◔",'Step 2 - Scoring'!E22&lt;=2, "◑", 'Step 2 - Scoring'!E22&lt;=3, "◕", 'Step 2 - Scoring'!E22&lt;=4, "⬤" )</f>
        <v/>
      </c>
      <c r="J17" s="10"/>
      <c r="K17" s="10" t="str" cm="1">
        <f t="array" ref="K17">_xlfn.IFS('Step 2 - Scoring'!F22= "", "", 'Step 2 - Scoring'!F22=0, "○", 'Step 2 - Scoring'!F22&lt;1.5, "◔",'Step 2 - Scoring'!F22&lt;=2, "◑", 'Step 2 - Scoring'!F22&lt;=3, "◕", 'Step 2 - Scoring'!F22&lt;=4, "⬤" )</f>
        <v/>
      </c>
      <c r="L17" s="10"/>
      <c r="M17" s="10" t="str" cm="1">
        <f t="array" ref="M17">_xlfn.IFS('Step 2 - Scoring'!G22= "", "", 'Step 2 - Scoring'!G22=0, "○", 'Step 2 - Scoring'!G22&lt;1.5, "◔",'Step 2 - Scoring'!G22&lt;=2, "◑", 'Step 2 - Scoring'!G22&lt;=3, "◕", 'Step 2 - Scoring'!G22&lt;=4, "⬤" )</f>
        <v/>
      </c>
      <c r="N17" s="11"/>
      <c r="O17" s="54"/>
      <c r="P17" s="10" t="str" cm="1">
        <f t="array" ref="P17">IFERROR(_xlfn.IFS('Step 2 - Scoring'!I22= "", "", 'Step 2 - Scoring'!I22=0, "○", 'Step 2 - Scoring'!I22&lt;1.5, "◔",'Step 2 - Scoring'!I22&lt;=2, "◑", 'Step 2 - Scoring'!I22&lt;=3, "◕", 'Step 2 - Scoring'!I22&lt;=4, "⬤" ),"-")</f>
        <v/>
      </c>
      <c r="Q17" s="10"/>
      <c r="R17" s="10" t="str" cm="1">
        <f t="array" ref="R17">IFERROR(_xlfn.IFS('Step 2 - Scoring'!J22= "", "", 'Step 2 - Scoring'!J22=0, "○", 'Step 2 - Scoring'!J22&lt;1.5, "◔",'Step 2 - Scoring'!J22&lt;=2, "◑", 'Step 2 - Scoring'!J22&lt;=3, "◕", 'Step 2 - Scoring'!J22&lt;=4, "⬤" ),"-")</f>
        <v/>
      </c>
      <c r="S17" s="10"/>
      <c r="T17" s="10" t="str" cm="1">
        <f t="array" ref="T17">IFERROR(_xlfn.IFS('Step 2 - Scoring'!K22= "", "", 'Step 2 - Scoring'!K22=0, "○", 'Step 2 - Scoring'!K22&lt;1.5, "◔",'Step 2 - Scoring'!K22&lt;=2, "◑", 'Step 2 - Scoring'!K22&lt;=3, "◕", 'Step 2 - Scoring'!K22&lt;=4, "⬤" ),"-")</f>
        <v/>
      </c>
      <c r="U17" s="10"/>
      <c r="V17" s="10" t="str" cm="1">
        <f t="array" ref="V17">IFERROR(_xlfn.IFS('Step 2 - Scoring'!L22= "", "", 'Step 2 - Scoring'!L22=0, "○", 'Step 2 - Scoring'!L22&lt;1.5, "◔",'Step 2 - Scoring'!L22&lt;=2, "◑", 'Step 2 - Scoring'!L22&lt;=3, "◕", 'Step 2 - Scoring'!L22&lt;=4, "⬤" ),"-")</f>
        <v/>
      </c>
      <c r="W17" s="10"/>
      <c r="X17" s="10" t="str" cm="1">
        <f t="array" ref="X17">IFERROR(_xlfn.IFS('Step 2 - Scoring'!M22= "", "", 'Step 2 - Scoring'!M22=0, "○", 'Step 2 - Scoring'!M22&lt;1.5, "◔",'Step 2 - Scoring'!M22&lt;=2, "◑", 'Step 2 - Scoring'!M22&lt;=3, "◕", 'Step 2 - Scoring'!M22&lt;=4, "⬤" ),"-")</f>
        <v/>
      </c>
      <c r="Y17" s="128"/>
    </row>
    <row r="18" spans="1:25" ht="16.149999999999999" customHeight="1">
      <c r="A18" s="9" t="b">
        <f>'Step 1 - Fill in Details'!D19</f>
        <v>0</v>
      </c>
      <c r="B18" s="128"/>
      <c r="C18" s="8" t="str">
        <f>'Step 1 - Fill in Details'!C19</f>
        <v>UC13</v>
      </c>
      <c r="D18" s="8"/>
      <c r="E18" s="10" t="str" cm="1">
        <f t="array" ref="E18">_xlfn.IFS('Step 2 - Scoring'!C23= "", "", 'Step 2 - Scoring'!C23=0, "○", 'Step 2 - Scoring'!C23&lt;1.5, "◔",'Step 2 - Scoring'!C23&lt;=2, "◑", 'Step 2 - Scoring'!C23&lt;=3, "◕", 'Step 2 - Scoring'!C23&lt;=4, "⬤" )</f>
        <v/>
      </c>
      <c r="F18" s="10"/>
      <c r="G18" s="10" t="str" cm="1">
        <f t="array" ref="G18">_xlfn.IFS('Step 2 - Scoring'!D23= "", "", 'Step 2 - Scoring'!D23=0, "○", 'Step 2 - Scoring'!D23&lt;1.5, "◔",'Step 2 - Scoring'!D23&lt;=2, "◑", 'Step 2 - Scoring'!D23&lt;=3, "◕", 'Step 2 - Scoring'!D23&lt;=4, "⬤" )</f>
        <v/>
      </c>
      <c r="H18" s="10"/>
      <c r="I18" s="10" t="str" cm="1">
        <f t="array" ref="I18">_xlfn.IFS('Step 2 - Scoring'!E23= "", "", 'Step 2 - Scoring'!E23=0, "○", 'Step 2 - Scoring'!E23&lt;1.5, "◔",'Step 2 - Scoring'!E23&lt;=2, "◑", 'Step 2 - Scoring'!E23&lt;=3, "◕", 'Step 2 - Scoring'!E23&lt;=4, "⬤" )</f>
        <v/>
      </c>
      <c r="J18" s="10"/>
      <c r="K18" s="10" t="str" cm="1">
        <f t="array" ref="K18">_xlfn.IFS('Step 2 - Scoring'!F23= "", "", 'Step 2 - Scoring'!F23=0, "○", 'Step 2 - Scoring'!F23&lt;1.5, "◔",'Step 2 - Scoring'!F23&lt;=2, "◑", 'Step 2 - Scoring'!F23&lt;=3, "◕", 'Step 2 - Scoring'!F23&lt;=4, "⬤" )</f>
        <v/>
      </c>
      <c r="L18" s="10"/>
      <c r="M18" s="10" t="str" cm="1">
        <f t="array" ref="M18">_xlfn.IFS('Step 2 - Scoring'!G23= "", "", 'Step 2 - Scoring'!G23=0, "○", 'Step 2 - Scoring'!G23&lt;1.5, "◔",'Step 2 - Scoring'!G23&lt;=2, "◑", 'Step 2 - Scoring'!G23&lt;=3, "◕", 'Step 2 - Scoring'!G23&lt;=4, "⬤" )</f>
        <v/>
      </c>
      <c r="N18" s="11"/>
      <c r="O18" s="54"/>
      <c r="P18" s="10" t="str" cm="1">
        <f t="array" ref="P18">IFERROR(_xlfn.IFS('Step 2 - Scoring'!I23= "", "", 'Step 2 - Scoring'!I23=0, "○", 'Step 2 - Scoring'!I23&lt;1.5, "◔",'Step 2 - Scoring'!I23&lt;=2, "◑", 'Step 2 - Scoring'!I23&lt;=3, "◕", 'Step 2 - Scoring'!I23&lt;=4, "⬤" ),"-")</f>
        <v/>
      </c>
      <c r="Q18" s="10"/>
      <c r="R18" s="10" t="str" cm="1">
        <f t="array" ref="R18">IFERROR(_xlfn.IFS('Step 2 - Scoring'!J23= "", "", 'Step 2 - Scoring'!J23=0, "○", 'Step 2 - Scoring'!J23&lt;1.5, "◔",'Step 2 - Scoring'!J23&lt;=2, "◑", 'Step 2 - Scoring'!J23&lt;=3, "◕", 'Step 2 - Scoring'!J23&lt;=4, "⬤" ),"-")</f>
        <v/>
      </c>
      <c r="S18" s="10"/>
      <c r="T18" s="10" t="str" cm="1">
        <f t="array" ref="T18">IFERROR(_xlfn.IFS('Step 2 - Scoring'!K23= "", "", 'Step 2 - Scoring'!K23=0, "○", 'Step 2 - Scoring'!K23&lt;1.5, "◔",'Step 2 - Scoring'!K23&lt;=2, "◑", 'Step 2 - Scoring'!K23&lt;=3, "◕", 'Step 2 - Scoring'!K23&lt;=4, "⬤" ),"-")</f>
        <v/>
      </c>
      <c r="U18" s="10"/>
      <c r="V18" s="10" t="str" cm="1">
        <f t="array" ref="V18">IFERROR(_xlfn.IFS('Step 2 - Scoring'!L23= "", "", 'Step 2 - Scoring'!L23=0, "○", 'Step 2 - Scoring'!L23&lt;1.5, "◔",'Step 2 - Scoring'!L23&lt;=2, "◑", 'Step 2 - Scoring'!L23&lt;=3, "◕", 'Step 2 - Scoring'!L23&lt;=4, "⬤" ),"-")</f>
        <v/>
      </c>
      <c r="W18" s="10"/>
      <c r="X18" s="10" t="str" cm="1">
        <f t="array" ref="X18">IFERROR(_xlfn.IFS('Step 2 - Scoring'!M23= "", "", 'Step 2 - Scoring'!M23=0, "○", 'Step 2 - Scoring'!M23&lt;1.5, "◔",'Step 2 - Scoring'!M23&lt;=2, "◑", 'Step 2 - Scoring'!M23&lt;=3, "◕", 'Step 2 - Scoring'!M23&lt;=4, "⬤" ),"-")</f>
        <v/>
      </c>
      <c r="Y18" s="128"/>
    </row>
    <row r="19" spans="1:25" ht="16.149999999999999" customHeight="1">
      <c r="A19" s="9" t="b">
        <f>'Step 1 - Fill in Details'!D20</f>
        <v>0</v>
      </c>
      <c r="B19" s="128"/>
      <c r="C19" s="8" t="str">
        <f>'Step 1 - Fill in Details'!C20</f>
        <v>UC14</v>
      </c>
      <c r="D19" s="8"/>
      <c r="E19" s="10" t="str" cm="1">
        <f t="array" ref="E19">_xlfn.IFS('Step 2 - Scoring'!C24= "", "", 'Step 2 - Scoring'!C24=0, "○", 'Step 2 - Scoring'!C24&lt;1.5, "◔",'Step 2 - Scoring'!C24&lt;=2, "◑", 'Step 2 - Scoring'!C24&lt;=3, "◕", 'Step 2 - Scoring'!C24&lt;=4, "⬤" )</f>
        <v/>
      </c>
      <c r="F19" s="10"/>
      <c r="G19" s="10" t="str" cm="1">
        <f t="array" ref="G19">_xlfn.IFS('Step 2 - Scoring'!D24= "", "", 'Step 2 - Scoring'!D24=0, "○", 'Step 2 - Scoring'!D24&lt;1.5, "◔",'Step 2 - Scoring'!D24&lt;=2, "◑", 'Step 2 - Scoring'!D24&lt;=3, "◕", 'Step 2 - Scoring'!D24&lt;=4, "⬤" )</f>
        <v/>
      </c>
      <c r="H19" s="10"/>
      <c r="I19" s="10" t="str" cm="1">
        <f t="array" ref="I19">_xlfn.IFS('Step 2 - Scoring'!E24= "", "", 'Step 2 - Scoring'!E24=0, "○", 'Step 2 - Scoring'!E24&lt;1.5, "◔",'Step 2 - Scoring'!E24&lt;=2, "◑", 'Step 2 - Scoring'!E24&lt;=3, "◕", 'Step 2 - Scoring'!E24&lt;=4, "⬤" )</f>
        <v/>
      </c>
      <c r="J19" s="10"/>
      <c r="K19" s="10" t="str" cm="1">
        <f t="array" ref="K19">_xlfn.IFS('Step 2 - Scoring'!F24= "", "", 'Step 2 - Scoring'!F24=0, "○", 'Step 2 - Scoring'!F24&lt;1.5, "◔",'Step 2 - Scoring'!F24&lt;=2, "◑", 'Step 2 - Scoring'!F24&lt;=3, "◕", 'Step 2 - Scoring'!F24&lt;=4, "⬤" )</f>
        <v/>
      </c>
      <c r="L19" s="10"/>
      <c r="M19" s="10" t="str" cm="1">
        <f t="array" ref="M19">_xlfn.IFS('Step 2 - Scoring'!G24= "", "", 'Step 2 - Scoring'!G24=0, "○", 'Step 2 - Scoring'!G24&lt;1.5, "◔",'Step 2 - Scoring'!G24&lt;=2, "◑", 'Step 2 - Scoring'!G24&lt;=3, "◕", 'Step 2 - Scoring'!G24&lt;=4, "⬤" )</f>
        <v/>
      </c>
      <c r="N19" s="11"/>
      <c r="O19" s="54"/>
      <c r="P19" s="10" t="str" cm="1">
        <f t="array" ref="P19">IFERROR(_xlfn.IFS('Step 2 - Scoring'!I24= "", "", 'Step 2 - Scoring'!I24=0, "○", 'Step 2 - Scoring'!I24&lt;1.5, "◔",'Step 2 - Scoring'!I24&lt;=2, "◑", 'Step 2 - Scoring'!I24&lt;=3, "◕", 'Step 2 - Scoring'!I24&lt;=4, "⬤" ),"-")</f>
        <v/>
      </c>
      <c r="Q19" s="10"/>
      <c r="R19" s="10" t="str" cm="1">
        <f t="array" ref="R19">IFERROR(_xlfn.IFS('Step 2 - Scoring'!J24= "", "", 'Step 2 - Scoring'!J24=0, "○", 'Step 2 - Scoring'!J24&lt;1.5, "◔",'Step 2 - Scoring'!J24&lt;=2, "◑", 'Step 2 - Scoring'!J24&lt;=3, "◕", 'Step 2 - Scoring'!J24&lt;=4, "⬤" ),"-")</f>
        <v/>
      </c>
      <c r="S19" s="10"/>
      <c r="T19" s="10" t="str" cm="1">
        <f t="array" ref="T19">IFERROR(_xlfn.IFS('Step 2 - Scoring'!K24= "", "", 'Step 2 - Scoring'!K24=0, "○", 'Step 2 - Scoring'!K24&lt;1.5, "◔",'Step 2 - Scoring'!K24&lt;=2, "◑", 'Step 2 - Scoring'!K24&lt;=3, "◕", 'Step 2 - Scoring'!K24&lt;=4, "⬤" ),"-")</f>
        <v/>
      </c>
      <c r="U19" s="10"/>
      <c r="V19" s="10" t="str" cm="1">
        <f t="array" ref="V19">IFERROR(_xlfn.IFS('Step 2 - Scoring'!L24= "", "", 'Step 2 - Scoring'!L24=0, "○", 'Step 2 - Scoring'!L24&lt;1.5, "◔",'Step 2 - Scoring'!L24&lt;=2, "◑", 'Step 2 - Scoring'!L24&lt;=3, "◕", 'Step 2 - Scoring'!L24&lt;=4, "⬤" ),"-")</f>
        <v/>
      </c>
      <c r="W19" s="10"/>
      <c r="X19" s="10" t="str" cm="1">
        <f t="array" ref="X19">IFERROR(_xlfn.IFS('Step 2 - Scoring'!M24= "", "", 'Step 2 - Scoring'!M24=0, "○", 'Step 2 - Scoring'!M24&lt;1.5, "◔",'Step 2 - Scoring'!M24&lt;=2, "◑", 'Step 2 - Scoring'!M24&lt;=3, "◕", 'Step 2 - Scoring'!M24&lt;=4, "⬤" ),"-")</f>
        <v/>
      </c>
      <c r="Y19" s="128"/>
    </row>
    <row r="20" spans="1:25" ht="16.149999999999999" customHeight="1">
      <c r="A20" s="9" t="b">
        <f>'Step 1 - Fill in Details'!D21</f>
        <v>0</v>
      </c>
      <c r="B20" s="128"/>
      <c r="C20" s="8" t="str">
        <f>'Step 1 - Fill in Details'!C21</f>
        <v>UC15</v>
      </c>
      <c r="D20" s="8"/>
      <c r="E20" s="10" t="str" cm="1">
        <f t="array" ref="E20">_xlfn.IFS('Step 2 - Scoring'!C25= "", "", 'Step 2 - Scoring'!C25=0, "○", 'Step 2 - Scoring'!C25&lt;1.5, "◔",'Step 2 - Scoring'!C25&lt;=2, "◑", 'Step 2 - Scoring'!C25&lt;=3, "◕", 'Step 2 - Scoring'!C25&lt;=4, "⬤" )</f>
        <v/>
      </c>
      <c r="F20" s="10"/>
      <c r="G20" s="10" t="str" cm="1">
        <f t="array" ref="G20">_xlfn.IFS('Step 2 - Scoring'!D25= "", "", 'Step 2 - Scoring'!D25=0, "○", 'Step 2 - Scoring'!D25&lt;1.5, "◔",'Step 2 - Scoring'!D25&lt;=2, "◑", 'Step 2 - Scoring'!D25&lt;=3, "◕", 'Step 2 - Scoring'!D25&lt;=4, "⬤" )</f>
        <v/>
      </c>
      <c r="H20" s="10"/>
      <c r="I20" s="10" t="str" cm="1">
        <f t="array" ref="I20">_xlfn.IFS('Step 2 - Scoring'!E25= "", "", 'Step 2 - Scoring'!E25=0, "○", 'Step 2 - Scoring'!E25&lt;1.5, "◔",'Step 2 - Scoring'!E25&lt;=2, "◑", 'Step 2 - Scoring'!E25&lt;=3, "◕", 'Step 2 - Scoring'!E25&lt;=4, "⬤" )</f>
        <v/>
      </c>
      <c r="J20" s="10"/>
      <c r="K20" s="10" t="str" cm="1">
        <f t="array" ref="K20">_xlfn.IFS('Step 2 - Scoring'!F25= "", "", 'Step 2 - Scoring'!F25=0, "○", 'Step 2 - Scoring'!F25&lt;1.5, "◔",'Step 2 - Scoring'!F25&lt;=2, "◑", 'Step 2 - Scoring'!F25&lt;=3, "◕", 'Step 2 - Scoring'!F25&lt;=4, "⬤" )</f>
        <v/>
      </c>
      <c r="L20" s="10"/>
      <c r="M20" s="10" t="str" cm="1">
        <f t="array" ref="M20">_xlfn.IFS('Step 2 - Scoring'!G25= "", "", 'Step 2 - Scoring'!G25=0, "○", 'Step 2 - Scoring'!G25&lt;1.5, "◔",'Step 2 - Scoring'!G25&lt;=2, "◑", 'Step 2 - Scoring'!G25&lt;=3, "◕", 'Step 2 - Scoring'!G25&lt;=4, "⬤" )</f>
        <v/>
      </c>
      <c r="N20" s="11"/>
      <c r="O20" s="54"/>
      <c r="P20" s="10" t="str" cm="1">
        <f t="array" ref="P20">IFERROR(_xlfn.IFS('Step 2 - Scoring'!I25= "", "", 'Step 2 - Scoring'!I25=0, "○", 'Step 2 - Scoring'!I25&lt;1.5, "◔",'Step 2 - Scoring'!I25&lt;=2, "◑", 'Step 2 - Scoring'!I25&lt;=3, "◕", 'Step 2 - Scoring'!I25&lt;=4, "⬤" ),"-")</f>
        <v/>
      </c>
      <c r="Q20" s="10"/>
      <c r="R20" s="10" t="str" cm="1">
        <f t="array" ref="R20">IFERROR(_xlfn.IFS('Step 2 - Scoring'!J25= "", "", 'Step 2 - Scoring'!J25=0, "○", 'Step 2 - Scoring'!J25&lt;1.5, "◔",'Step 2 - Scoring'!J25&lt;=2, "◑", 'Step 2 - Scoring'!J25&lt;=3, "◕", 'Step 2 - Scoring'!J25&lt;=4, "⬤" ),"-")</f>
        <v/>
      </c>
      <c r="S20" s="10"/>
      <c r="T20" s="10" t="str" cm="1">
        <f t="array" ref="T20">IFERROR(_xlfn.IFS('Step 2 - Scoring'!K25= "", "", 'Step 2 - Scoring'!K25=0, "○", 'Step 2 - Scoring'!K25&lt;1.5, "◔",'Step 2 - Scoring'!K25&lt;=2, "◑", 'Step 2 - Scoring'!K25&lt;=3, "◕", 'Step 2 - Scoring'!K25&lt;=4, "⬤" ),"-")</f>
        <v/>
      </c>
      <c r="U20" s="10"/>
      <c r="V20" s="10" t="str" cm="1">
        <f t="array" ref="V20">IFERROR(_xlfn.IFS('Step 2 - Scoring'!L25= "", "", 'Step 2 - Scoring'!L25=0, "○", 'Step 2 - Scoring'!L25&lt;1.5, "◔",'Step 2 - Scoring'!L25&lt;=2, "◑", 'Step 2 - Scoring'!L25&lt;=3, "◕", 'Step 2 - Scoring'!L25&lt;=4, "⬤" ),"-")</f>
        <v/>
      </c>
      <c r="W20" s="10"/>
      <c r="X20" s="10" t="str" cm="1">
        <f t="array" ref="X20">IFERROR(_xlfn.IFS('Step 2 - Scoring'!M25= "", "", 'Step 2 - Scoring'!M25=0, "○", 'Step 2 - Scoring'!M25&lt;1.5, "◔",'Step 2 - Scoring'!M25&lt;=2, "◑", 'Step 2 - Scoring'!M25&lt;=3, "◕", 'Step 2 - Scoring'!M25&lt;=4, "⬤" ),"-")</f>
        <v/>
      </c>
      <c r="Y20" s="128"/>
    </row>
    <row r="21" spans="1:25" ht="16.149999999999999" customHeight="1">
      <c r="A21" s="9" t="b">
        <f>'Step 1 - Fill in Details'!D22</f>
        <v>0</v>
      </c>
      <c r="B21" s="128"/>
      <c r="C21" s="8" t="str">
        <f>'Step 1 - Fill in Details'!C22</f>
        <v>UC16</v>
      </c>
      <c r="D21" s="8"/>
      <c r="E21" s="10" t="str" cm="1">
        <f t="array" ref="E21">_xlfn.IFS('Step 2 - Scoring'!C26= "", "", 'Step 2 - Scoring'!C26=0, "○", 'Step 2 - Scoring'!C26&lt;1.5, "◔",'Step 2 - Scoring'!C26&lt;=2, "◑", 'Step 2 - Scoring'!C26&lt;=3, "◕", 'Step 2 - Scoring'!C26&lt;=4, "⬤" )</f>
        <v/>
      </c>
      <c r="F21" s="10"/>
      <c r="G21" s="10" t="str" cm="1">
        <f t="array" ref="G21">_xlfn.IFS('Step 2 - Scoring'!D26= "", "", 'Step 2 - Scoring'!D26=0, "○", 'Step 2 - Scoring'!D26&lt;1.5, "◔",'Step 2 - Scoring'!D26&lt;=2, "◑", 'Step 2 - Scoring'!D26&lt;=3, "◕", 'Step 2 - Scoring'!D26&lt;=4, "⬤" )</f>
        <v/>
      </c>
      <c r="H21" s="10"/>
      <c r="I21" s="10" t="str" cm="1">
        <f t="array" ref="I21">_xlfn.IFS('Step 2 - Scoring'!E26= "", "", 'Step 2 - Scoring'!E26=0, "○", 'Step 2 - Scoring'!E26&lt;1.5, "◔",'Step 2 - Scoring'!E26&lt;=2, "◑", 'Step 2 - Scoring'!E26&lt;=3, "◕", 'Step 2 - Scoring'!E26&lt;=4, "⬤" )</f>
        <v/>
      </c>
      <c r="J21" s="10"/>
      <c r="K21" s="10" t="str" cm="1">
        <f t="array" ref="K21">_xlfn.IFS('Step 2 - Scoring'!F26= "", "", 'Step 2 - Scoring'!F26=0, "○", 'Step 2 - Scoring'!F26&lt;1.5, "◔",'Step 2 - Scoring'!F26&lt;=2, "◑", 'Step 2 - Scoring'!F26&lt;=3, "◕", 'Step 2 - Scoring'!F26&lt;=4, "⬤" )</f>
        <v/>
      </c>
      <c r="L21" s="10"/>
      <c r="M21" s="10" t="str" cm="1">
        <f t="array" ref="M21">_xlfn.IFS('Step 2 - Scoring'!G26= "", "", 'Step 2 - Scoring'!G26=0, "○", 'Step 2 - Scoring'!G26&lt;1.5, "◔",'Step 2 - Scoring'!G26&lt;=2, "◑", 'Step 2 - Scoring'!G26&lt;=3, "◕", 'Step 2 - Scoring'!G26&lt;=4, "⬤" )</f>
        <v/>
      </c>
      <c r="N21" s="11"/>
      <c r="O21" s="54"/>
      <c r="P21" s="10" t="str" cm="1">
        <f t="array" ref="P21">IFERROR(_xlfn.IFS('Step 2 - Scoring'!I26= "", "", 'Step 2 - Scoring'!I26=0, "○", 'Step 2 - Scoring'!I26&lt;1.5, "◔",'Step 2 - Scoring'!I26&lt;=2, "◑", 'Step 2 - Scoring'!I26&lt;=3, "◕", 'Step 2 - Scoring'!I26&lt;=4, "⬤" ),"-")</f>
        <v/>
      </c>
      <c r="Q21" s="10"/>
      <c r="R21" s="10" t="str" cm="1">
        <f t="array" ref="R21">IFERROR(_xlfn.IFS('Step 2 - Scoring'!J26= "", "", 'Step 2 - Scoring'!J26=0, "○", 'Step 2 - Scoring'!J26&lt;1.5, "◔",'Step 2 - Scoring'!J26&lt;=2, "◑", 'Step 2 - Scoring'!J26&lt;=3, "◕", 'Step 2 - Scoring'!J26&lt;=4, "⬤" ),"-")</f>
        <v/>
      </c>
      <c r="S21" s="10"/>
      <c r="T21" s="10" t="str" cm="1">
        <f t="array" ref="T21">IFERROR(_xlfn.IFS('Step 2 - Scoring'!K26= "", "", 'Step 2 - Scoring'!K26=0, "○", 'Step 2 - Scoring'!K26&lt;1.5, "◔",'Step 2 - Scoring'!K26&lt;=2, "◑", 'Step 2 - Scoring'!K26&lt;=3, "◕", 'Step 2 - Scoring'!K26&lt;=4, "⬤" ),"-")</f>
        <v/>
      </c>
      <c r="U21" s="10"/>
      <c r="V21" s="10" t="str" cm="1">
        <f t="array" ref="V21">IFERROR(_xlfn.IFS('Step 2 - Scoring'!L26= "", "", 'Step 2 - Scoring'!L26=0, "○", 'Step 2 - Scoring'!L26&lt;1.5, "◔",'Step 2 - Scoring'!L26&lt;=2, "◑", 'Step 2 - Scoring'!L26&lt;=3, "◕", 'Step 2 - Scoring'!L26&lt;=4, "⬤" ),"-")</f>
        <v/>
      </c>
      <c r="W21" s="10"/>
      <c r="X21" s="10" t="str" cm="1">
        <f t="array" ref="X21">IFERROR(_xlfn.IFS('Step 2 - Scoring'!M26= "", "", 'Step 2 - Scoring'!M26=0, "○", 'Step 2 - Scoring'!M26&lt;1.5, "◔",'Step 2 - Scoring'!M26&lt;=2, "◑", 'Step 2 - Scoring'!M26&lt;=3, "◕", 'Step 2 - Scoring'!M26&lt;=4, "⬤" ),"-")</f>
        <v/>
      </c>
      <c r="Y21" s="128"/>
    </row>
    <row r="22" spans="1:25" ht="16.149999999999999" customHeight="1">
      <c r="A22" s="9" t="b">
        <f>'Step 1 - Fill in Details'!D23</f>
        <v>0</v>
      </c>
      <c r="B22" s="128"/>
      <c r="C22" s="8" t="str">
        <f>'Step 1 - Fill in Details'!C23</f>
        <v>UC17</v>
      </c>
      <c r="D22" s="8"/>
      <c r="E22" s="10" t="str" cm="1">
        <f t="array" ref="E22">_xlfn.IFS('Step 2 - Scoring'!C27= "", "", 'Step 2 - Scoring'!C27=0, "○", 'Step 2 - Scoring'!C27&lt;1.5, "◔",'Step 2 - Scoring'!C27&lt;=2, "◑", 'Step 2 - Scoring'!C27&lt;=3, "◕", 'Step 2 - Scoring'!C27&lt;=4, "⬤" )</f>
        <v/>
      </c>
      <c r="F22" s="10"/>
      <c r="G22" s="10" t="str" cm="1">
        <f t="array" ref="G22">_xlfn.IFS('Step 2 - Scoring'!D27= "", "", 'Step 2 - Scoring'!D27=0, "○", 'Step 2 - Scoring'!D27&lt;1.5, "◔",'Step 2 - Scoring'!D27&lt;=2, "◑", 'Step 2 - Scoring'!D27&lt;=3, "◕", 'Step 2 - Scoring'!D27&lt;=4, "⬤" )</f>
        <v/>
      </c>
      <c r="H22" s="10"/>
      <c r="I22" s="10" t="str" cm="1">
        <f t="array" ref="I22">_xlfn.IFS('Step 2 - Scoring'!E27= "", "", 'Step 2 - Scoring'!E27=0, "○", 'Step 2 - Scoring'!E27&lt;1.5, "◔",'Step 2 - Scoring'!E27&lt;=2, "◑", 'Step 2 - Scoring'!E27&lt;=3, "◕", 'Step 2 - Scoring'!E27&lt;=4, "⬤" )</f>
        <v/>
      </c>
      <c r="J22" s="10"/>
      <c r="K22" s="10" t="str" cm="1">
        <f t="array" ref="K22">_xlfn.IFS('Step 2 - Scoring'!F27= "", "", 'Step 2 - Scoring'!F27=0, "○", 'Step 2 - Scoring'!F27&lt;1.5, "◔",'Step 2 - Scoring'!F27&lt;=2, "◑", 'Step 2 - Scoring'!F27&lt;=3, "◕", 'Step 2 - Scoring'!F27&lt;=4, "⬤" )</f>
        <v/>
      </c>
      <c r="L22" s="10"/>
      <c r="M22" s="10" t="str" cm="1">
        <f t="array" ref="M22">_xlfn.IFS('Step 2 - Scoring'!G27= "", "", 'Step 2 - Scoring'!G27=0, "○", 'Step 2 - Scoring'!G27&lt;1.5, "◔",'Step 2 - Scoring'!G27&lt;=2, "◑", 'Step 2 - Scoring'!G27&lt;=3, "◕", 'Step 2 - Scoring'!G27&lt;=4, "⬤" )</f>
        <v/>
      </c>
      <c r="N22" s="11"/>
      <c r="O22" s="54"/>
      <c r="P22" s="10" t="str" cm="1">
        <f t="array" ref="P22">IFERROR(_xlfn.IFS('Step 2 - Scoring'!I27= "", "", 'Step 2 - Scoring'!I27=0, "○", 'Step 2 - Scoring'!I27&lt;1.5, "◔",'Step 2 - Scoring'!I27&lt;=2, "◑", 'Step 2 - Scoring'!I27&lt;=3, "◕", 'Step 2 - Scoring'!I27&lt;=4, "⬤" ),"-")</f>
        <v/>
      </c>
      <c r="Q22" s="10"/>
      <c r="R22" s="10" t="str" cm="1">
        <f t="array" ref="R22">IFERROR(_xlfn.IFS('Step 2 - Scoring'!J27= "", "", 'Step 2 - Scoring'!J27=0, "○", 'Step 2 - Scoring'!J27&lt;1.5, "◔",'Step 2 - Scoring'!J27&lt;=2, "◑", 'Step 2 - Scoring'!J27&lt;=3, "◕", 'Step 2 - Scoring'!J27&lt;=4, "⬤" ),"-")</f>
        <v/>
      </c>
      <c r="S22" s="10"/>
      <c r="T22" s="10" t="str" cm="1">
        <f t="array" ref="T22">IFERROR(_xlfn.IFS('Step 2 - Scoring'!K27= "", "", 'Step 2 - Scoring'!K27=0, "○", 'Step 2 - Scoring'!K27&lt;1.5, "◔",'Step 2 - Scoring'!K27&lt;=2, "◑", 'Step 2 - Scoring'!K27&lt;=3, "◕", 'Step 2 - Scoring'!K27&lt;=4, "⬤" ),"-")</f>
        <v/>
      </c>
      <c r="U22" s="10"/>
      <c r="V22" s="10" t="str" cm="1">
        <f t="array" ref="V22">IFERROR(_xlfn.IFS('Step 2 - Scoring'!L27= "", "", 'Step 2 - Scoring'!L27=0, "○", 'Step 2 - Scoring'!L27&lt;1.5, "◔",'Step 2 - Scoring'!L27&lt;=2, "◑", 'Step 2 - Scoring'!L27&lt;=3, "◕", 'Step 2 - Scoring'!L27&lt;=4, "⬤" ),"-")</f>
        <v/>
      </c>
      <c r="W22" s="10"/>
      <c r="X22" s="10" t="str" cm="1">
        <f t="array" ref="X22">IFERROR(_xlfn.IFS('Step 2 - Scoring'!M27= "", "", 'Step 2 - Scoring'!M27=0, "○", 'Step 2 - Scoring'!M27&lt;1.5, "◔",'Step 2 - Scoring'!M27&lt;=2, "◑", 'Step 2 - Scoring'!M27&lt;=3, "◕", 'Step 2 - Scoring'!M27&lt;=4, "⬤" ),"-")</f>
        <v/>
      </c>
      <c r="Y22" s="128"/>
    </row>
    <row r="23" spans="1:25" ht="16.149999999999999" customHeight="1">
      <c r="A23" s="9" t="b">
        <f>'Step 1 - Fill in Details'!D24</f>
        <v>0</v>
      </c>
      <c r="B23" s="128"/>
      <c r="C23" s="8" t="str">
        <f>'Step 1 - Fill in Details'!C24</f>
        <v>UC18</v>
      </c>
      <c r="D23" s="8"/>
      <c r="E23" s="10" t="str" cm="1">
        <f t="array" ref="E23">_xlfn.IFS('Step 2 - Scoring'!C28= "", "", 'Step 2 - Scoring'!C28=0, "○", 'Step 2 - Scoring'!C28&lt;1.5, "◔",'Step 2 - Scoring'!C28&lt;=2, "◑", 'Step 2 - Scoring'!C28&lt;=3, "◕", 'Step 2 - Scoring'!C28&lt;=4, "⬤" )</f>
        <v/>
      </c>
      <c r="F23" s="10"/>
      <c r="G23" s="10" t="str" cm="1">
        <f t="array" ref="G23">_xlfn.IFS('Step 2 - Scoring'!D28= "", "", 'Step 2 - Scoring'!D28=0, "○", 'Step 2 - Scoring'!D28&lt;1.5, "◔",'Step 2 - Scoring'!D28&lt;=2, "◑", 'Step 2 - Scoring'!D28&lt;=3, "◕", 'Step 2 - Scoring'!D28&lt;=4, "⬤" )</f>
        <v/>
      </c>
      <c r="H23" s="10"/>
      <c r="I23" s="10" t="str" cm="1">
        <f t="array" ref="I23">_xlfn.IFS('Step 2 - Scoring'!E28= "", "", 'Step 2 - Scoring'!E28=0, "○", 'Step 2 - Scoring'!E28&lt;1.5, "◔",'Step 2 - Scoring'!E28&lt;=2, "◑", 'Step 2 - Scoring'!E28&lt;=3, "◕", 'Step 2 - Scoring'!E28&lt;=4, "⬤" )</f>
        <v/>
      </c>
      <c r="J23" s="10"/>
      <c r="K23" s="10" t="str" cm="1">
        <f t="array" ref="K23">_xlfn.IFS('Step 2 - Scoring'!F28= "", "", 'Step 2 - Scoring'!F28=0, "○", 'Step 2 - Scoring'!F28&lt;1.5, "◔",'Step 2 - Scoring'!F28&lt;=2, "◑", 'Step 2 - Scoring'!F28&lt;=3, "◕", 'Step 2 - Scoring'!F28&lt;=4, "⬤" )</f>
        <v/>
      </c>
      <c r="L23" s="10"/>
      <c r="M23" s="10" t="str" cm="1">
        <f t="array" ref="M23">_xlfn.IFS('Step 2 - Scoring'!G28= "", "", 'Step 2 - Scoring'!G28=0, "○", 'Step 2 - Scoring'!G28&lt;1.5, "◔",'Step 2 - Scoring'!G28&lt;=2, "◑", 'Step 2 - Scoring'!G28&lt;=3, "◕", 'Step 2 - Scoring'!G28&lt;=4, "⬤" )</f>
        <v/>
      </c>
      <c r="N23" s="11"/>
      <c r="O23" s="54"/>
      <c r="P23" s="10" t="str" cm="1">
        <f t="array" ref="P23">IFERROR(_xlfn.IFS('Step 2 - Scoring'!I28= "", "", 'Step 2 - Scoring'!I28=0, "○", 'Step 2 - Scoring'!I28&lt;1.5, "◔",'Step 2 - Scoring'!I28&lt;=2, "◑", 'Step 2 - Scoring'!I28&lt;=3, "◕", 'Step 2 - Scoring'!I28&lt;=4, "⬤" ),"-")</f>
        <v/>
      </c>
      <c r="Q23" s="10"/>
      <c r="R23" s="10" t="str" cm="1">
        <f t="array" ref="R23">IFERROR(_xlfn.IFS('Step 2 - Scoring'!J28= "", "", 'Step 2 - Scoring'!J28=0, "○", 'Step 2 - Scoring'!J28&lt;1.5, "◔",'Step 2 - Scoring'!J28&lt;=2, "◑", 'Step 2 - Scoring'!J28&lt;=3, "◕", 'Step 2 - Scoring'!J28&lt;=4, "⬤" ),"-")</f>
        <v/>
      </c>
      <c r="S23" s="10"/>
      <c r="T23" s="10" t="str" cm="1">
        <f t="array" ref="T23">IFERROR(_xlfn.IFS('Step 2 - Scoring'!K28= "", "", 'Step 2 - Scoring'!K28=0, "○", 'Step 2 - Scoring'!K28&lt;1.5, "◔",'Step 2 - Scoring'!K28&lt;=2, "◑", 'Step 2 - Scoring'!K28&lt;=3, "◕", 'Step 2 - Scoring'!K28&lt;=4, "⬤" ),"-")</f>
        <v/>
      </c>
      <c r="U23" s="10"/>
      <c r="V23" s="10" t="str" cm="1">
        <f t="array" ref="V23">IFERROR(_xlfn.IFS('Step 2 - Scoring'!L28= "", "", 'Step 2 - Scoring'!L28=0, "○", 'Step 2 - Scoring'!L28&lt;1.5, "◔",'Step 2 - Scoring'!L28&lt;=2, "◑", 'Step 2 - Scoring'!L28&lt;=3, "◕", 'Step 2 - Scoring'!L28&lt;=4, "⬤" ),"-")</f>
        <v/>
      </c>
      <c r="W23" s="10"/>
      <c r="X23" s="10" t="str" cm="1">
        <f t="array" ref="X23">IFERROR(_xlfn.IFS('Step 2 - Scoring'!M28= "", "", 'Step 2 - Scoring'!M28=0, "○", 'Step 2 - Scoring'!M28&lt;1.5, "◔",'Step 2 - Scoring'!M28&lt;=2, "◑", 'Step 2 - Scoring'!M28&lt;=3, "◕", 'Step 2 - Scoring'!M28&lt;=4, "⬤" ),"-")</f>
        <v/>
      </c>
      <c r="Y23" s="128"/>
    </row>
    <row r="24" spans="1:25" ht="16.149999999999999" customHeight="1">
      <c r="A24" s="9" t="b">
        <f>'Step 1 - Fill in Details'!D25</f>
        <v>0</v>
      </c>
      <c r="B24" s="128"/>
      <c r="C24" s="8" t="str">
        <f>'Step 1 - Fill in Details'!C25</f>
        <v>UC19</v>
      </c>
      <c r="D24" s="8"/>
      <c r="E24" s="10" t="str" cm="1">
        <f t="array" ref="E24">_xlfn.IFS('Step 2 - Scoring'!C29= "", "", 'Step 2 - Scoring'!C29=0, "○", 'Step 2 - Scoring'!C29&lt;1.5, "◔",'Step 2 - Scoring'!C29&lt;=2, "◑", 'Step 2 - Scoring'!C29&lt;=3, "◕", 'Step 2 - Scoring'!C29&lt;=4, "⬤" )</f>
        <v/>
      </c>
      <c r="F24" s="10"/>
      <c r="G24" s="10" t="str" cm="1">
        <f t="array" ref="G24">_xlfn.IFS('Step 2 - Scoring'!D29= "", "", 'Step 2 - Scoring'!D29=0, "○", 'Step 2 - Scoring'!D29&lt;1.5, "◔",'Step 2 - Scoring'!D29&lt;=2, "◑", 'Step 2 - Scoring'!D29&lt;=3, "◕", 'Step 2 - Scoring'!D29&lt;=4, "⬤" )</f>
        <v/>
      </c>
      <c r="H24" s="10"/>
      <c r="I24" s="10" t="str" cm="1">
        <f t="array" ref="I24">_xlfn.IFS('Step 2 - Scoring'!E29= "", "", 'Step 2 - Scoring'!E29=0, "○", 'Step 2 - Scoring'!E29&lt;1.5, "◔",'Step 2 - Scoring'!E29&lt;=2, "◑", 'Step 2 - Scoring'!E29&lt;=3, "◕", 'Step 2 - Scoring'!E29&lt;=4, "⬤" )</f>
        <v/>
      </c>
      <c r="J24" s="10"/>
      <c r="K24" s="10" t="str" cm="1">
        <f t="array" ref="K24">_xlfn.IFS('Step 2 - Scoring'!F29= "", "", 'Step 2 - Scoring'!F29=0, "○", 'Step 2 - Scoring'!F29&lt;1.5, "◔",'Step 2 - Scoring'!F29&lt;=2, "◑", 'Step 2 - Scoring'!F29&lt;=3, "◕", 'Step 2 - Scoring'!F29&lt;=4, "⬤" )</f>
        <v/>
      </c>
      <c r="L24" s="10"/>
      <c r="M24" s="10" t="str" cm="1">
        <f t="array" ref="M24">_xlfn.IFS('Step 2 - Scoring'!G29= "", "", 'Step 2 - Scoring'!G29=0, "○", 'Step 2 - Scoring'!G29&lt;1.5, "◔",'Step 2 - Scoring'!G29&lt;=2, "◑", 'Step 2 - Scoring'!G29&lt;=3, "◕", 'Step 2 - Scoring'!G29&lt;=4, "⬤" )</f>
        <v/>
      </c>
      <c r="N24" s="11"/>
      <c r="O24" s="54"/>
      <c r="P24" s="10" t="str" cm="1">
        <f t="array" ref="P24">IFERROR(_xlfn.IFS('Step 2 - Scoring'!I29= "", "", 'Step 2 - Scoring'!I29=0, "○", 'Step 2 - Scoring'!I29&lt;1.5, "◔",'Step 2 - Scoring'!I29&lt;=2, "◑", 'Step 2 - Scoring'!I29&lt;=3, "◕", 'Step 2 - Scoring'!I29&lt;=4, "⬤" ),"-")</f>
        <v/>
      </c>
      <c r="Q24" s="10"/>
      <c r="R24" s="10" t="str" cm="1">
        <f t="array" ref="R24">IFERROR(_xlfn.IFS('Step 2 - Scoring'!J29= "", "", 'Step 2 - Scoring'!J29=0, "○", 'Step 2 - Scoring'!J29&lt;1.5, "◔",'Step 2 - Scoring'!J29&lt;=2, "◑", 'Step 2 - Scoring'!J29&lt;=3, "◕", 'Step 2 - Scoring'!J29&lt;=4, "⬤" ),"-")</f>
        <v/>
      </c>
      <c r="S24" s="10"/>
      <c r="T24" s="10" t="str" cm="1">
        <f t="array" ref="T24">IFERROR(_xlfn.IFS('Step 2 - Scoring'!K29= "", "", 'Step 2 - Scoring'!K29=0, "○", 'Step 2 - Scoring'!K29&lt;1.5, "◔",'Step 2 - Scoring'!K29&lt;=2, "◑", 'Step 2 - Scoring'!K29&lt;=3, "◕", 'Step 2 - Scoring'!K29&lt;=4, "⬤" ),"-")</f>
        <v/>
      </c>
      <c r="U24" s="10"/>
      <c r="V24" s="10" t="str" cm="1">
        <f t="array" ref="V24">IFERROR(_xlfn.IFS('Step 2 - Scoring'!L29= "", "", 'Step 2 - Scoring'!L29=0, "○", 'Step 2 - Scoring'!L29&lt;1.5, "◔",'Step 2 - Scoring'!L29&lt;=2, "◑", 'Step 2 - Scoring'!L29&lt;=3, "◕", 'Step 2 - Scoring'!L29&lt;=4, "⬤" ),"-")</f>
        <v/>
      </c>
      <c r="W24" s="10"/>
      <c r="X24" s="10" t="str" cm="1">
        <f t="array" ref="X24">IFERROR(_xlfn.IFS('Step 2 - Scoring'!M29= "", "", 'Step 2 - Scoring'!M29=0, "○", 'Step 2 - Scoring'!M29&lt;1.5, "◔",'Step 2 - Scoring'!M29&lt;=2, "◑", 'Step 2 - Scoring'!M29&lt;=3, "◕", 'Step 2 - Scoring'!M29&lt;=4, "⬤" ),"-")</f>
        <v/>
      </c>
      <c r="Y24" s="128"/>
    </row>
    <row r="25" spans="1:25" ht="16.149999999999999" customHeight="1">
      <c r="A25" s="9" t="b">
        <f>'Step 1 - Fill in Details'!D26</f>
        <v>0</v>
      </c>
      <c r="B25" s="128"/>
      <c r="C25" s="8" t="str">
        <f>'Step 1 - Fill in Details'!C26</f>
        <v>UC20</v>
      </c>
      <c r="D25" s="8"/>
      <c r="E25" s="10" t="str" cm="1">
        <f t="array" ref="E25">_xlfn.IFS('Step 2 - Scoring'!C30= "", "", 'Step 2 - Scoring'!C30=0, "○", 'Step 2 - Scoring'!C30&lt;1.5, "◔",'Step 2 - Scoring'!C30&lt;=2, "◑", 'Step 2 - Scoring'!C30&lt;=3, "◕", 'Step 2 - Scoring'!C30&lt;=4, "⬤" )</f>
        <v/>
      </c>
      <c r="F25" s="10"/>
      <c r="G25" s="10" t="str" cm="1">
        <f t="array" ref="G25">_xlfn.IFS('Step 2 - Scoring'!D30= "", "", 'Step 2 - Scoring'!D30=0, "○", 'Step 2 - Scoring'!D30&lt;1.5, "◔",'Step 2 - Scoring'!D30&lt;=2, "◑", 'Step 2 - Scoring'!D30&lt;=3, "◕", 'Step 2 - Scoring'!D30&lt;=4, "⬤" )</f>
        <v/>
      </c>
      <c r="H25" s="10"/>
      <c r="I25" s="10" t="str" cm="1">
        <f t="array" ref="I25">_xlfn.IFS('Step 2 - Scoring'!E30= "", "", 'Step 2 - Scoring'!E30=0, "○", 'Step 2 - Scoring'!E30&lt;1.5, "◔",'Step 2 - Scoring'!E30&lt;=2, "◑", 'Step 2 - Scoring'!E30&lt;=3, "◕", 'Step 2 - Scoring'!E30&lt;=4, "⬤" )</f>
        <v/>
      </c>
      <c r="J25" s="10"/>
      <c r="K25" s="10" t="str" cm="1">
        <f t="array" ref="K25">_xlfn.IFS('Step 2 - Scoring'!F30= "", "", 'Step 2 - Scoring'!F30=0, "○", 'Step 2 - Scoring'!F30&lt;1.5, "◔",'Step 2 - Scoring'!F30&lt;=2, "◑", 'Step 2 - Scoring'!F30&lt;=3, "◕", 'Step 2 - Scoring'!F30&lt;=4, "⬤" )</f>
        <v/>
      </c>
      <c r="L25" s="10"/>
      <c r="M25" s="10" t="str" cm="1">
        <f t="array" ref="M25">_xlfn.IFS('Step 2 - Scoring'!G30= "", "", 'Step 2 - Scoring'!G30=0, "○", 'Step 2 - Scoring'!G30&lt;1.5, "◔",'Step 2 - Scoring'!G30&lt;=2, "◑", 'Step 2 - Scoring'!G30&lt;=3, "◕", 'Step 2 - Scoring'!G30&lt;=4, "⬤" )</f>
        <v/>
      </c>
      <c r="N25" s="11"/>
      <c r="O25" s="54"/>
      <c r="P25" s="10" t="str" cm="1">
        <f t="array" ref="P25">IFERROR(_xlfn.IFS('Step 2 - Scoring'!I30= "", "", 'Step 2 - Scoring'!I30=0, "○", 'Step 2 - Scoring'!I30&lt;1.5, "◔",'Step 2 - Scoring'!I30&lt;=2, "◑", 'Step 2 - Scoring'!I30&lt;=3, "◕", 'Step 2 - Scoring'!I30&lt;=4, "⬤" ),"-")</f>
        <v/>
      </c>
      <c r="Q25" s="10"/>
      <c r="R25" s="10" t="str" cm="1">
        <f t="array" ref="R25">IFERROR(_xlfn.IFS('Step 2 - Scoring'!J30= "", "", 'Step 2 - Scoring'!J30=0, "○", 'Step 2 - Scoring'!J30&lt;1.5, "◔",'Step 2 - Scoring'!J30&lt;=2, "◑", 'Step 2 - Scoring'!J30&lt;=3, "◕", 'Step 2 - Scoring'!J30&lt;=4, "⬤" ),"-")</f>
        <v/>
      </c>
      <c r="S25" s="10"/>
      <c r="T25" s="10" t="str" cm="1">
        <f t="array" ref="T25">IFERROR(_xlfn.IFS('Step 2 - Scoring'!K30= "", "", 'Step 2 - Scoring'!K30=0, "○", 'Step 2 - Scoring'!K30&lt;1.5, "◔",'Step 2 - Scoring'!K30&lt;=2, "◑", 'Step 2 - Scoring'!K30&lt;=3, "◕", 'Step 2 - Scoring'!K30&lt;=4, "⬤" ),"-")</f>
        <v/>
      </c>
      <c r="U25" s="10"/>
      <c r="V25" s="10" t="str" cm="1">
        <f t="array" ref="V25">IFERROR(_xlfn.IFS('Step 2 - Scoring'!L30= "", "", 'Step 2 - Scoring'!L30=0, "○", 'Step 2 - Scoring'!L30&lt;1.5, "◔",'Step 2 - Scoring'!L30&lt;=2, "◑", 'Step 2 - Scoring'!L30&lt;=3, "◕", 'Step 2 - Scoring'!L30&lt;=4, "⬤" ),"-")</f>
        <v/>
      </c>
      <c r="W25" s="10"/>
      <c r="X25" s="10" t="str" cm="1">
        <f t="array" ref="X25">IFERROR(_xlfn.IFS('Step 2 - Scoring'!M30= "", "", 'Step 2 - Scoring'!M30=0, "○", 'Step 2 - Scoring'!M30&lt;1.5, "◔",'Step 2 - Scoring'!M30&lt;=2, "◑", 'Step 2 - Scoring'!M30&lt;=3, "◕", 'Step 2 - Scoring'!M30&lt;=4, "⬤" ),"-")</f>
        <v/>
      </c>
      <c r="Y25" s="128"/>
    </row>
    <row r="26" spans="1:25" ht="16.149999999999999" customHeight="1">
      <c r="A26" s="9" t="b">
        <f>'Step 1 - Fill in Details'!D27</f>
        <v>0</v>
      </c>
      <c r="B26" s="128"/>
      <c r="C26" s="8" t="str">
        <f>'Step 1 - Fill in Details'!C27</f>
        <v>UC21</v>
      </c>
      <c r="D26" s="8"/>
      <c r="E26" s="10" t="str" cm="1">
        <f t="array" ref="E26">_xlfn.IFS('Step 2 - Scoring'!C31= "", "", 'Step 2 - Scoring'!C31=0, "○", 'Step 2 - Scoring'!C31&lt;1.5, "◔",'Step 2 - Scoring'!C31&lt;=2, "◑", 'Step 2 - Scoring'!C31&lt;=3, "◕", 'Step 2 - Scoring'!C31&lt;=4, "⬤" )</f>
        <v/>
      </c>
      <c r="F26" s="10"/>
      <c r="G26" s="10" t="str" cm="1">
        <f t="array" ref="G26">_xlfn.IFS('Step 2 - Scoring'!D31= "", "", 'Step 2 - Scoring'!D31=0, "○", 'Step 2 - Scoring'!D31&lt;1.5, "◔",'Step 2 - Scoring'!D31&lt;=2, "◑", 'Step 2 - Scoring'!D31&lt;=3, "◕", 'Step 2 - Scoring'!D31&lt;=4, "⬤" )</f>
        <v/>
      </c>
      <c r="H26" s="10"/>
      <c r="I26" s="10" t="str" cm="1">
        <f t="array" ref="I26">_xlfn.IFS('Step 2 - Scoring'!E31= "", "", 'Step 2 - Scoring'!E31=0, "○", 'Step 2 - Scoring'!E31&lt;1.5, "◔",'Step 2 - Scoring'!E31&lt;=2, "◑", 'Step 2 - Scoring'!E31&lt;=3, "◕", 'Step 2 - Scoring'!E31&lt;=4, "⬤" )</f>
        <v/>
      </c>
      <c r="J26" s="10"/>
      <c r="K26" s="10" t="str" cm="1">
        <f t="array" ref="K26">_xlfn.IFS('Step 2 - Scoring'!F31= "", "", 'Step 2 - Scoring'!F31=0, "○", 'Step 2 - Scoring'!F31&lt;1.5, "◔",'Step 2 - Scoring'!F31&lt;=2, "◑", 'Step 2 - Scoring'!F31&lt;=3, "◕", 'Step 2 - Scoring'!F31&lt;=4, "⬤" )</f>
        <v/>
      </c>
      <c r="L26" s="10"/>
      <c r="M26" s="10" t="str" cm="1">
        <f t="array" ref="M26">_xlfn.IFS('Step 2 - Scoring'!G31= "", "", 'Step 2 - Scoring'!G31=0, "○", 'Step 2 - Scoring'!G31&lt;1.5, "◔",'Step 2 - Scoring'!G31&lt;=2, "◑", 'Step 2 - Scoring'!G31&lt;=3, "◕", 'Step 2 - Scoring'!G31&lt;=4, "⬤" )</f>
        <v/>
      </c>
      <c r="N26" s="11"/>
      <c r="O26" s="54"/>
      <c r="P26" s="10" t="str" cm="1">
        <f t="array" ref="P26">IFERROR(_xlfn.IFS('Step 2 - Scoring'!I31= "", "", 'Step 2 - Scoring'!I31=0, "○", 'Step 2 - Scoring'!I31&lt;1.5, "◔",'Step 2 - Scoring'!I31&lt;=2, "◑", 'Step 2 - Scoring'!I31&lt;=3, "◕", 'Step 2 - Scoring'!I31&lt;=4, "⬤" ),"-")</f>
        <v/>
      </c>
      <c r="Q26" s="10"/>
      <c r="R26" s="10" t="str" cm="1">
        <f t="array" ref="R26">IFERROR(_xlfn.IFS('Step 2 - Scoring'!J31= "", "", 'Step 2 - Scoring'!J31=0, "○", 'Step 2 - Scoring'!J31&lt;1.5, "◔",'Step 2 - Scoring'!J31&lt;=2, "◑", 'Step 2 - Scoring'!J31&lt;=3, "◕", 'Step 2 - Scoring'!J31&lt;=4, "⬤" ),"-")</f>
        <v/>
      </c>
      <c r="S26" s="10"/>
      <c r="T26" s="10" t="str" cm="1">
        <f t="array" ref="T26">IFERROR(_xlfn.IFS('Step 2 - Scoring'!K31= "", "", 'Step 2 - Scoring'!K31=0, "○", 'Step 2 - Scoring'!K31&lt;1.5, "◔",'Step 2 - Scoring'!K31&lt;=2, "◑", 'Step 2 - Scoring'!K31&lt;=3, "◕", 'Step 2 - Scoring'!K31&lt;=4, "⬤" ),"-")</f>
        <v/>
      </c>
      <c r="U26" s="10"/>
      <c r="V26" s="10" t="str" cm="1">
        <f t="array" ref="V26">IFERROR(_xlfn.IFS('Step 2 - Scoring'!L31= "", "", 'Step 2 - Scoring'!L31=0, "○", 'Step 2 - Scoring'!L31&lt;1.5, "◔",'Step 2 - Scoring'!L31&lt;=2, "◑", 'Step 2 - Scoring'!L31&lt;=3, "◕", 'Step 2 - Scoring'!L31&lt;=4, "⬤" ),"-")</f>
        <v/>
      </c>
      <c r="W26" s="10"/>
      <c r="X26" s="10" t="str" cm="1">
        <f t="array" ref="X26">IFERROR(_xlfn.IFS('Step 2 - Scoring'!M31= "", "", 'Step 2 - Scoring'!M31=0, "○", 'Step 2 - Scoring'!M31&lt;1.5, "◔",'Step 2 - Scoring'!M31&lt;=2, "◑", 'Step 2 - Scoring'!M31&lt;=3, "◕", 'Step 2 - Scoring'!M31&lt;=4, "⬤" ),"-")</f>
        <v/>
      </c>
      <c r="Y26" s="128"/>
    </row>
    <row r="27" spans="1:25" ht="16.149999999999999" customHeight="1">
      <c r="A27" s="9" t="b">
        <f>'Step 1 - Fill in Details'!D28</f>
        <v>0</v>
      </c>
      <c r="B27" s="128"/>
      <c r="C27" s="8" t="str">
        <f>'Step 1 - Fill in Details'!C28</f>
        <v>UC22</v>
      </c>
      <c r="D27" s="8"/>
      <c r="E27" s="10" t="str" cm="1">
        <f t="array" ref="E27">_xlfn.IFS('Step 2 - Scoring'!C32= "", "", 'Step 2 - Scoring'!C32=0, "○", 'Step 2 - Scoring'!C32&lt;1.5, "◔",'Step 2 - Scoring'!C32&lt;=2, "◑", 'Step 2 - Scoring'!C32&lt;=3, "◕", 'Step 2 - Scoring'!C32&lt;=4, "⬤" )</f>
        <v/>
      </c>
      <c r="F27" s="10"/>
      <c r="G27" s="10" t="str" cm="1">
        <f t="array" ref="G27">_xlfn.IFS('Step 2 - Scoring'!D32= "", "", 'Step 2 - Scoring'!D32=0, "○", 'Step 2 - Scoring'!D32&lt;1.5, "◔",'Step 2 - Scoring'!D32&lt;=2, "◑", 'Step 2 - Scoring'!D32&lt;=3, "◕", 'Step 2 - Scoring'!D32&lt;=4, "⬤" )</f>
        <v/>
      </c>
      <c r="H27" s="10"/>
      <c r="I27" s="10" t="str" cm="1">
        <f t="array" ref="I27">_xlfn.IFS('Step 2 - Scoring'!E32= "", "", 'Step 2 - Scoring'!E32=0, "○", 'Step 2 - Scoring'!E32&lt;1.5, "◔",'Step 2 - Scoring'!E32&lt;=2, "◑", 'Step 2 - Scoring'!E32&lt;=3, "◕", 'Step 2 - Scoring'!E32&lt;=4, "⬤" )</f>
        <v/>
      </c>
      <c r="J27" s="10"/>
      <c r="K27" s="10" t="str" cm="1">
        <f t="array" ref="K27">_xlfn.IFS('Step 2 - Scoring'!F32= "", "", 'Step 2 - Scoring'!F32=0, "○", 'Step 2 - Scoring'!F32&lt;1.5, "◔",'Step 2 - Scoring'!F32&lt;=2, "◑", 'Step 2 - Scoring'!F32&lt;=3, "◕", 'Step 2 - Scoring'!F32&lt;=4, "⬤" )</f>
        <v/>
      </c>
      <c r="L27" s="10"/>
      <c r="M27" s="10" t="str" cm="1">
        <f t="array" ref="M27">_xlfn.IFS('Step 2 - Scoring'!G32= "", "", 'Step 2 - Scoring'!G32=0, "○", 'Step 2 - Scoring'!G32&lt;1.5, "◔",'Step 2 - Scoring'!G32&lt;=2, "◑", 'Step 2 - Scoring'!G32&lt;=3, "◕", 'Step 2 - Scoring'!G32&lt;=4, "⬤" )</f>
        <v/>
      </c>
      <c r="N27" s="11"/>
      <c r="O27" s="54"/>
      <c r="P27" s="10" t="str" cm="1">
        <f t="array" ref="P27">IFERROR(_xlfn.IFS('Step 2 - Scoring'!I32= "", "", 'Step 2 - Scoring'!I32=0, "○", 'Step 2 - Scoring'!I32&lt;1.5, "◔",'Step 2 - Scoring'!I32&lt;=2, "◑", 'Step 2 - Scoring'!I32&lt;=3, "◕", 'Step 2 - Scoring'!I32&lt;=4, "⬤" ),"-")</f>
        <v/>
      </c>
      <c r="Q27" s="10"/>
      <c r="R27" s="10" t="str" cm="1">
        <f t="array" ref="R27">IFERROR(_xlfn.IFS('Step 2 - Scoring'!J32= "", "", 'Step 2 - Scoring'!J32=0, "○", 'Step 2 - Scoring'!J32&lt;1.5, "◔",'Step 2 - Scoring'!J32&lt;=2, "◑", 'Step 2 - Scoring'!J32&lt;=3, "◕", 'Step 2 - Scoring'!J32&lt;=4, "⬤" ),"-")</f>
        <v/>
      </c>
      <c r="S27" s="10"/>
      <c r="T27" s="10" t="str" cm="1">
        <f t="array" ref="T27">IFERROR(_xlfn.IFS('Step 2 - Scoring'!K32= "", "", 'Step 2 - Scoring'!K32=0, "○", 'Step 2 - Scoring'!K32&lt;1.5, "◔",'Step 2 - Scoring'!K32&lt;=2, "◑", 'Step 2 - Scoring'!K32&lt;=3, "◕", 'Step 2 - Scoring'!K32&lt;=4, "⬤" ),"-")</f>
        <v/>
      </c>
      <c r="U27" s="10"/>
      <c r="V27" s="10" t="str" cm="1">
        <f t="array" ref="V27">IFERROR(_xlfn.IFS('Step 2 - Scoring'!L32= "", "", 'Step 2 - Scoring'!L32=0, "○", 'Step 2 - Scoring'!L32&lt;1.5, "◔",'Step 2 - Scoring'!L32&lt;=2, "◑", 'Step 2 - Scoring'!L32&lt;=3, "◕", 'Step 2 - Scoring'!L32&lt;=4, "⬤" ),"-")</f>
        <v/>
      </c>
      <c r="W27" s="10"/>
      <c r="X27" s="10" t="str" cm="1">
        <f t="array" ref="X27">IFERROR(_xlfn.IFS('Step 2 - Scoring'!M32= "", "", 'Step 2 - Scoring'!M32=0, "○", 'Step 2 - Scoring'!M32&lt;1.5, "◔",'Step 2 - Scoring'!M32&lt;=2, "◑", 'Step 2 - Scoring'!M32&lt;=3, "◕", 'Step 2 - Scoring'!M32&lt;=4, "⬤" ),"-")</f>
        <v/>
      </c>
      <c r="Y27" s="128"/>
    </row>
    <row r="28" spans="1:25" ht="16.149999999999999" customHeight="1">
      <c r="A28" s="9" t="b">
        <f>'Step 1 - Fill in Details'!D29</f>
        <v>0</v>
      </c>
      <c r="B28" s="128"/>
      <c r="C28" s="8" t="str">
        <f>'Step 1 - Fill in Details'!C29</f>
        <v>UC23</v>
      </c>
      <c r="D28" s="8"/>
      <c r="E28" s="10" t="str" cm="1">
        <f t="array" ref="E28">_xlfn.IFS('Step 2 - Scoring'!C33= "", "", 'Step 2 - Scoring'!C33=0, "○", 'Step 2 - Scoring'!C33&lt;1.5, "◔",'Step 2 - Scoring'!C33&lt;=2, "◑", 'Step 2 - Scoring'!C33&lt;=3, "◕", 'Step 2 - Scoring'!C33&lt;=4, "⬤" )</f>
        <v/>
      </c>
      <c r="F28" s="10"/>
      <c r="G28" s="10" t="str" cm="1">
        <f t="array" ref="G28">_xlfn.IFS('Step 2 - Scoring'!D33= "", "", 'Step 2 - Scoring'!D33=0, "○", 'Step 2 - Scoring'!D33&lt;1.5, "◔",'Step 2 - Scoring'!D33&lt;=2, "◑", 'Step 2 - Scoring'!D33&lt;=3, "◕", 'Step 2 - Scoring'!D33&lt;=4, "⬤" )</f>
        <v/>
      </c>
      <c r="H28" s="10"/>
      <c r="I28" s="10" t="str" cm="1">
        <f t="array" ref="I28">_xlfn.IFS('Step 2 - Scoring'!E33= "", "", 'Step 2 - Scoring'!E33=0, "○", 'Step 2 - Scoring'!E33&lt;1.5, "◔",'Step 2 - Scoring'!E33&lt;=2, "◑", 'Step 2 - Scoring'!E33&lt;=3, "◕", 'Step 2 - Scoring'!E33&lt;=4, "⬤" )</f>
        <v/>
      </c>
      <c r="J28" s="10"/>
      <c r="K28" s="10" t="str" cm="1">
        <f t="array" ref="K28">_xlfn.IFS('Step 2 - Scoring'!F33= "", "", 'Step 2 - Scoring'!F33=0, "○", 'Step 2 - Scoring'!F33&lt;1.5, "◔",'Step 2 - Scoring'!F33&lt;=2, "◑", 'Step 2 - Scoring'!F33&lt;=3, "◕", 'Step 2 - Scoring'!F33&lt;=4, "⬤" )</f>
        <v/>
      </c>
      <c r="L28" s="10"/>
      <c r="M28" s="10" t="str" cm="1">
        <f t="array" ref="M28">_xlfn.IFS('Step 2 - Scoring'!G33= "", "", 'Step 2 - Scoring'!G33=0, "○", 'Step 2 - Scoring'!G33&lt;1.5, "◔",'Step 2 - Scoring'!G33&lt;=2, "◑", 'Step 2 - Scoring'!G33&lt;=3, "◕", 'Step 2 - Scoring'!G33&lt;=4, "⬤" )</f>
        <v/>
      </c>
      <c r="N28" s="11"/>
      <c r="O28" s="54"/>
      <c r="P28" s="10" t="str" cm="1">
        <f t="array" ref="P28">IFERROR(_xlfn.IFS('Step 2 - Scoring'!I33= "", "", 'Step 2 - Scoring'!I33=0, "○", 'Step 2 - Scoring'!I33&lt;1.5, "◔",'Step 2 - Scoring'!I33&lt;=2, "◑", 'Step 2 - Scoring'!I33&lt;=3, "◕", 'Step 2 - Scoring'!I33&lt;=4, "⬤" ),"-")</f>
        <v/>
      </c>
      <c r="Q28" s="10"/>
      <c r="R28" s="10" t="str" cm="1">
        <f t="array" ref="R28">IFERROR(_xlfn.IFS('Step 2 - Scoring'!J33= "", "", 'Step 2 - Scoring'!J33=0, "○", 'Step 2 - Scoring'!J33&lt;1.5, "◔",'Step 2 - Scoring'!J33&lt;=2, "◑", 'Step 2 - Scoring'!J33&lt;=3, "◕", 'Step 2 - Scoring'!J33&lt;=4, "⬤" ),"-")</f>
        <v/>
      </c>
      <c r="S28" s="10"/>
      <c r="T28" s="10" t="str" cm="1">
        <f t="array" ref="T28">IFERROR(_xlfn.IFS('Step 2 - Scoring'!K33= "", "", 'Step 2 - Scoring'!K33=0, "○", 'Step 2 - Scoring'!K33&lt;1.5, "◔",'Step 2 - Scoring'!K33&lt;=2, "◑", 'Step 2 - Scoring'!K33&lt;=3, "◕", 'Step 2 - Scoring'!K33&lt;=4, "⬤" ),"-")</f>
        <v/>
      </c>
      <c r="U28" s="10"/>
      <c r="V28" s="10" t="str" cm="1">
        <f t="array" ref="V28">IFERROR(_xlfn.IFS('Step 2 - Scoring'!L33= "", "", 'Step 2 - Scoring'!L33=0, "○", 'Step 2 - Scoring'!L33&lt;1.5, "◔",'Step 2 - Scoring'!L33&lt;=2, "◑", 'Step 2 - Scoring'!L33&lt;=3, "◕", 'Step 2 - Scoring'!L33&lt;=4, "⬤" ),"-")</f>
        <v/>
      </c>
      <c r="W28" s="10"/>
      <c r="X28" s="10" t="str" cm="1">
        <f t="array" ref="X28">IFERROR(_xlfn.IFS('Step 2 - Scoring'!M33= "", "", 'Step 2 - Scoring'!M33=0, "○", 'Step 2 - Scoring'!M33&lt;1.5, "◔",'Step 2 - Scoring'!M33&lt;=2, "◑", 'Step 2 - Scoring'!M33&lt;=3, "◕", 'Step 2 - Scoring'!M33&lt;=4, "⬤" ),"-")</f>
        <v/>
      </c>
      <c r="Y28" s="128"/>
    </row>
    <row r="29" spans="1:25" ht="16.149999999999999" customHeight="1">
      <c r="A29" s="9" t="b">
        <f>'Step 1 - Fill in Details'!D30</f>
        <v>0</v>
      </c>
      <c r="B29" s="128"/>
      <c r="C29" s="8" t="str">
        <f>'Step 1 - Fill in Details'!C30</f>
        <v>UC24</v>
      </c>
      <c r="D29" s="8"/>
      <c r="E29" s="10" t="str" cm="1">
        <f t="array" ref="E29">_xlfn.IFS('Step 2 - Scoring'!C34= "", "", 'Step 2 - Scoring'!C34=0, "○", 'Step 2 - Scoring'!C34&lt;1.5, "◔",'Step 2 - Scoring'!C34&lt;=2, "◑", 'Step 2 - Scoring'!C34&lt;=3, "◕", 'Step 2 - Scoring'!C34&lt;=4, "⬤" )</f>
        <v/>
      </c>
      <c r="F29" s="10"/>
      <c r="G29" s="10" t="str" cm="1">
        <f t="array" ref="G29">_xlfn.IFS('Step 2 - Scoring'!D34= "", "", 'Step 2 - Scoring'!D34=0, "○", 'Step 2 - Scoring'!D34&lt;1.5, "◔",'Step 2 - Scoring'!D34&lt;=2, "◑", 'Step 2 - Scoring'!D34&lt;=3, "◕", 'Step 2 - Scoring'!D34&lt;=4, "⬤" )</f>
        <v/>
      </c>
      <c r="H29" s="10"/>
      <c r="I29" s="10" t="str" cm="1">
        <f t="array" ref="I29">_xlfn.IFS('Step 2 - Scoring'!E34= "", "", 'Step 2 - Scoring'!E34=0, "○", 'Step 2 - Scoring'!E34&lt;1.5, "◔",'Step 2 - Scoring'!E34&lt;=2, "◑", 'Step 2 - Scoring'!E34&lt;=3, "◕", 'Step 2 - Scoring'!E34&lt;=4, "⬤" )</f>
        <v/>
      </c>
      <c r="J29" s="10"/>
      <c r="K29" s="10" t="str" cm="1">
        <f t="array" ref="K29">_xlfn.IFS('Step 2 - Scoring'!F34= "", "", 'Step 2 - Scoring'!F34=0, "○", 'Step 2 - Scoring'!F34&lt;1.5, "◔",'Step 2 - Scoring'!F34&lt;=2, "◑", 'Step 2 - Scoring'!F34&lt;=3, "◕", 'Step 2 - Scoring'!F34&lt;=4, "⬤" )</f>
        <v/>
      </c>
      <c r="L29" s="10"/>
      <c r="M29" s="10" t="str" cm="1">
        <f t="array" ref="M29">_xlfn.IFS('Step 2 - Scoring'!G34= "", "", 'Step 2 - Scoring'!G34=0, "○", 'Step 2 - Scoring'!G34&lt;1.5, "◔",'Step 2 - Scoring'!G34&lt;=2, "◑", 'Step 2 - Scoring'!G34&lt;=3, "◕", 'Step 2 - Scoring'!G34&lt;=4, "⬤" )</f>
        <v/>
      </c>
      <c r="N29" s="11"/>
      <c r="O29" s="54"/>
      <c r="P29" s="10" t="str" cm="1">
        <f t="array" ref="P29">IFERROR(_xlfn.IFS('Step 2 - Scoring'!I34= "", "", 'Step 2 - Scoring'!I34=0, "○", 'Step 2 - Scoring'!I34&lt;1.5, "◔",'Step 2 - Scoring'!I34&lt;=2, "◑", 'Step 2 - Scoring'!I34&lt;=3, "◕", 'Step 2 - Scoring'!I34&lt;=4, "⬤" ),"-")</f>
        <v/>
      </c>
      <c r="Q29" s="10"/>
      <c r="R29" s="10" t="str" cm="1">
        <f t="array" ref="R29">IFERROR(_xlfn.IFS('Step 2 - Scoring'!J34= "", "", 'Step 2 - Scoring'!J34=0, "○", 'Step 2 - Scoring'!J34&lt;1.5, "◔",'Step 2 - Scoring'!J34&lt;=2, "◑", 'Step 2 - Scoring'!J34&lt;=3, "◕", 'Step 2 - Scoring'!J34&lt;=4, "⬤" ),"-")</f>
        <v/>
      </c>
      <c r="S29" s="10"/>
      <c r="T29" s="10" t="str" cm="1">
        <f t="array" ref="T29">IFERROR(_xlfn.IFS('Step 2 - Scoring'!K34= "", "", 'Step 2 - Scoring'!K34=0, "○", 'Step 2 - Scoring'!K34&lt;1.5, "◔",'Step 2 - Scoring'!K34&lt;=2, "◑", 'Step 2 - Scoring'!K34&lt;=3, "◕", 'Step 2 - Scoring'!K34&lt;=4, "⬤" ),"-")</f>
        <v/>
      </c>
      <c r="U29" s="10"/>
      <c r="V29" s="10" t="str" cm="1">
        <f t="array" ref="V29">IFERROR(_xlfn.IFS('Step 2 - Scoring'!L34= "", "", 'Step 2 - Scoring'!L34=0, "○", 'Step 2 - Scoring'!L34&lt;1.5, "◔",'Step 2 - Scoring'!L34&lt;=2, "◑", 'Step 2 - Scoring'!L34&lt;=3, "◕", 'Step 2 - Scoring'!L34&lt;=4, "⬤" ),"-")</f>
        <v/>
      </c>
      <c r="W29" s="10"/>
      <c r="X29" s="10" t="str" cm="1">
        <f t="array" ref="X29">IFERROR(_xlfn.IFS('Step 2 - Scoring'!M34= "", "", 'Step 2 - Scoring'!M34=0, "○", 'Step 2 - Scoring'!M34&lt;1.5, "◔",'Step 2 - Scoring'!M34&lt;=2, "◑", 'Step 2 - Scoring'!M34&lt;=3, "◕", 'Step 2 - Scoring'!M34&lt;=4, "⬤" ),"-")</f>
        <v/>
      </c>
      <c r="Y29" s="128"/>
    </row>
    <row r="30" spans="1:25" ht="16.149999999999999" customHeight="1">
      <c r="A30" s="9" t="b">
        <f>'Step 1 - Fill in Details'!D31</f>
        <v>0</v>
      </c>
      <c r="B30" s="128"/>
      <c r="C30" s="8" t="str">
        <f>'Step 1 - Fill in Details'!C31</f>
        <v>UC25</v>
      </c>
      <c r="D30" s="8"/>
      <c r="E30" s="10" t="str" cm="1">
        <f t="array" ref="E30">_xlfn.IFS('Step 2 - Scoring'!C35= "", "", 'Step 2 - Scoring'!C35=0, "○", 'Step 2 - Scoring'!C35&lt;1.5, "◔",'Step 2 - Scoring'!C35&lt;=2, "◑", 'Step 2 - Scoring'!C35&lt;=3, "◕", 'Step 2 - Scoring'!C35&lt;=4, "⬤" )</f>
        <v/>
      </c>
      <c r="F30" s="10"/>
      <c r="G30" s="10" t="str" cm="1">
        <f t="array" ref="G30">_xlfn.IFS('Step 2 - Scoring'!D35= "", "", 'Step 2 - Scoring'!D35=0, "○", 'Step 2 - Scoring'!D35&lt;1.5, "◔",'Step 2 - Scoring'!D35&lt;=2, "◑", 'Step 2 - Scoring'!D35&lt;=3, "◕", 'Step 2 - Scoring'!D35&lt;=4, "⬤" )</f>
        <v/>
      </c>
      <c r="H30" s="10"/>
      <c r="I30" s="10" t="str" cm="1">
        <f t="array" ref="I30">_xlfn.IFS('Step 2 - Scoring'!E35= "", "", 'Step 2 - Scoring'!E35=0, "○", 'Step 2 - Scoring'!E35&lt;1.5, "◔",'Step 2 - Scoring'!E35&lt;=2, "◑", 'Step 2 - Scoring'!E35&lt;=3, "◕", 'Step 2 - Scoring'!E35&lt;=4, "⬤" )</f>
        <v/>
      </c>
      <c r="J30" s="10"/>
      <c r="K30" s="10" t="str" cm="1">
        <f t="array" ref="K30">_xlfn.IFS('Step 2 - Scoring'!F35= "", "", 'Step 2 - Scoring'!F35=0, "○", 'Step 2 - Scoring'!F35&lt;1.5, "◔",'Step 2 - Scoring'!F35&lt;=2, "◑", 'Step 2 - Scoring'!F35&lt;=3, "◕", 'Step 2 - Scoring'!F35&lt;=4, "⬤" )</f>
        <v/>
      </c>
      <c r="L30" s="10"/>
      <c r="M30" s="10" t="str" cm="1">
        <f t="array" ref="M30">_xlfn.IFS('Step 2 - Scoring'!G35= "", "", 'Step 2 - Scoring'!G35=0, "○", 'Step 2 - Scoring'!G35&lt;1.5, "◔",'Step 2 - Scoring'!G35&lt;=2, "◑", 'Step 2 - Scoring'!G35&lt;=3, "◕", 'Step 2 - Scoring'!G35&lt;=4, "⬤" )</f>
        <v/>
      </c>
      <c r="N30" s="11"/>
      <c r="O30" s="54"/>
      <c r="P30" s="10" t="str" cm="1">
        <f t="array" ref="P30">IFERROR(_xlfn.IFS('Step 2 - Scoring'!I35= "", "", 'Step 2 - Scoring'!I35=0, "○", 'Step 2 - Scoring'!I35&lt;1.5, "◔",'Step 2 - Scoring'!I35&lt;=2, "◑", 'Step 2 - Scoring'!I35&lt;=3, "◕", 'Step 2 - Scoring'!I35&lt;=4, "⬤" ),"-")</f>
        <v/>
      </c>
      <c r="Q30" s="10"/>
      <c r="R30" s="10" t="str" cm="1">
        <f t="array" ref="R30">IFERROR(_xlfn.IFS('Step 2 - Scoring'!J35= "", "", 'Step 2 - Scoring'!J35=0, "○", 'Step 2 - Scoring'!J35&lt;1.5, "◔",'Step 2 - Scoring'!J35&lt;=2, "◑", 'Step 2 - Scoring'!J35&lt;=3, "◕", 'Step 2 - Scoring'!J35&lt;=4, "⬤" ),"-")</f>
        <v/>
      </c>
      <c r="S30" s="10"/>
      <c r="T30" s="10" t="str" cm="1">
        <f t="array" ref="T30">IFERROR(_xlfn.IFS('Step 2 - Scoring'!K35= "", "", 'Step 2 - Scoring'!K35=0, "○", 'Step 2 - Scoring'!K35&lt;1.5, "◔",'Step 2 - Scoring'!K35&lt;=2, "◑", 'Step 2 - Scoring'!K35&lt;=3, "◕", 'Step 2 - Scoring'!K35&lt;=4, "⬤" ),"-")</f>
        <v/>
      </c>
      <c r="U30" s="10"/>
      <c r="V30" s="10" t="str" cm="1">
        <f t="array" ref="V30">IFERROR(_xlfn.IFS('Step 2 - Scoring'!L35= "", "", 'Step 2 - Scoring'!L35=0, "○", 'Step 2 - Scoring'!L35&lt;1.5, "◔",'Step 2 - Scoring'!L35&lt;=2, "◑", 'Step 2 - Scoring'!L35&lt;=3, "◕", 'Step 2 - Scoring'!L35&lt;=4, "⬤" ),"-")</f>
        <v/>
      </c>
      <c r="W30" s="10"/>
      <c r="X30" s="10" t="str" cm="1">
        <f t="array" ref="X30">IFERROR(_xlfn.IFS('Step 2 - Scoring'!M35= "", "", 'Step 2 - Scoring'!M35=0, "○", 'Step 2 - Scoring'!M35&lt;1.5, "◔",'Step 2 - Scoring'!M35&lt;=2, "◑", 'Step 2 - Scoring'!M35&lt;=3, "◕", 'Step 2 - Scoring'!M35&lt;=4, "⬤" ),"-")</f>
        <v/>
      </c>
      <c r="Y30" s="128"/>
    </row>
    <row r="31" spans="1:25">
      <c r="B31" s="128"/>
      <c r="C31" s="128"/>
      <c r="D31" s="128"/>
      <c r="E31" s="128"/>
      <c r="F31" s="128"/>
      <c r="G31" s="128"/>
      <c r="H31" s="128"/>
      <c r="I31" s="128"/>
      <c r="J31" s="128"/>
      <c r="K31" s="128"/>
      <c r="L31" s="128"/>
      <c r="M31" s="128"/>
      <c r="N31" s="128"/>
      <c r="O31" s="128"/>
      <c r="P31" s="128"/>
      <c r="Q31" s="128"/>
      <c r="R31" s="128"/>
      <c r="S31" s="128"/>
      <c r="T31" s="128"/>
      <c r="U31" s="128"/>
      <c r="V31" s="128"/>
      <c r="W31" s="128"/>
      <c r="X31" s="128"/>
      <c r="Y31" s="128"/>
    </row>
    <row r="33" spans="2:25" ht="17.25">
      <c r="B33" s="52">
        <v>1</v>
      </c>
      <c r="C33" s="126" t="str">
        <f>IFERROR(VLOOKUP(B33,'Step 1 - Fill in Details'!H:T,13,FALSE),"")</f>
        <v>Cost Reduction - Lorem ipso factum</v>
      </c>
      <c r="D33" s="126"/>
      <c r="E33" s="126"/>
      <c r="F33" s="126"/>
      <c r="G33" s="126"/>
      <c r="H33" s="126"/>
      <c r="I33" s="126"/>
      <c r="J33" s="126"/>
      <c r="K33" s="126"/>
      <c r="L33" s="126"/>
      <c r="M33" s="126"/>
      <c r="N33" s="126"/>
      <c r="O33" s="126"/>
      <c r="P33" s="126"/>
      <c r="Q33" s="126"/>
      <c r="R33" s="126"/>
      <c r="S33" s="126"/>
      <c r="T33" s="126"/>
      <c r="U33" s="126"/>
      <c r="V33" s="126"/>
      <c r="W33" s="126"/>
      <c r="X33" s="126"/>
      <c r="Y33" s="126"/>
    </row>
    <row r="34" spans="2:25" ht="17.25">
      <c r="B34" s="52">
        <v>2</v>
      </c>
      <c r="C34" s="126" t="str">
        <f>IFERROR(VLOOKUP(B34,'Step 1 - Fill in Details'!H:T,13,FALSE),"")</f>
        <v>Revenue Optimization - Lorem ipso factum</v>
      </c>
      <c r="D34" s="126"/>
      <c r="E34" s="126"/>
      <c r="F34" s="126"/>
      <c r="G34" s="126"/>
      <c r="H34" s="126"/>
      <c r="I34" s="126"/>
      <c r="J34" s="126"/>
      <c r="K34" s="126"/>
      <c r="L34" s="126"/>
      <c r="M34" s="126"/>
      <c r="N34" s="126"/>
      <c r="O34" s="126"/>
      <c r="P34" s="126"/>
      <c r="Q34" s="126"/>
      <c r="R34" s="126"/>
      <c r="S34" s="126"/>
      <c r="T34" s="126"/>
      <c r="U34" s="126"/>
      <c r="V34" s="126"/>
      <c r="W34" s="126"/>
      <c r="X34" s="126"/>
      <c r="Y34" s="126"/>
    </row>
    <row r="35" spans="2:25" ht="17.25">
      <c r="B35" s="52">
        <v>3</v>
      </c>
      <c r="C35" s="126" t="str">
        <f>IFERROR(VLOOKUP(B35,'Step 1 - Fill in Details'!H:T,13,FALSE),"")</f>
        <v>CX Improvement - Lorem ipso factum</v>
      </c>
      <c r="D35" s="126"/>
      <c r="E35" s="126"/>
      <c r="F35" s="126"/>
      <c r="G35" s="126"/>
      <c r="H35" s="126"/>
      <c r="I35" s="126"/>
      <c r="J35" s="126"/>
      <c r="K35" s="126"/>
      <c r="L35" s="126"/>
      <c r="M35" s="126"/>
      <c r="N35" s="126"/>
      <c r="O35" s="126"/>
      <c r="P35" s="126"/>
      <c r="Q35" s="126"/>
      <c r="R35" s="126"/>
      <c r="S35" s="126"/>
      <c r="T35" s="126"/>
      <c r="U35" s="126"/>
      <c r="V35" s="126"/>
      <c r="W35" s="126"/>
      <c r="X35" s="126"/>
      <c r="Y35" s="126"/>
    </row>
    <row r="36" spans="2:25" ht="16.149999999999999" customHeight="1">
      <c r="B36" s="52">
        <v>4</v>
      </c>
      <c r="C36" s="126" t="str">
        <f>IFERROR(VLOOKUP(B36,'Step 1 - Fill in Details'!H:T,13,FALSE),"")</f>
        <v>Technical - Lorem ipso factum</v>
      </c>
      <c r="D36" s="126"/>
      <c r="E36" s="126"/>
      <c r="F36" s="126"/>
      <c r="G36" s="126"/>
      <c r="H36" s="126"/>
      <c r="I36" s="126"/>
      <c r="J36" s="126"/>
      <c r="K36" s="126"/>
      <c r="L36" s="126"/>
      <c r="M36" s="126"/>
      <c r="N36" s="126"/>
      <c r="O36" s="126"/>
      <c r="P36" s="126"/>
      <c r="Q36" s="126"/>
      <c r="R36" s="126"/>
      <c r="S36" s="126"/>
      <c r="T36" s="126"/>
      <c r="U36" s="126"/>
      <c r="V36" s="126"/>
      <c r="W36" s="126"/>
      <c r="X36" s="126"/>
      <c r="Y36" s="126"/>
    </row>
    <row r="37" spans="2:25" ht="16.149999999999999" customHeight="1">
      <c r="B37" s="52">
        <v>5</v>
      </c>
      <c r="C37" s="126" t="str">
        <f>IFERROR(VLOOKUP(B37,'Step 1 - Fill in Details'!H:T,13,FALSE),"")</f>
        <v>Internal - Lorem ipso factum</v>
      </c>
      <c r="D37" s="126"/>
      <c r="E37" s="126"/>
      <c r="F37" s="126"/>
      <c r="G37" s="126"/>
      <c r="H37" s="126"/>
      <c r="I37" s="126"/>
      <c r="J37" s="126"/>
      <c r="K37" s="126"/>
      <c r="L37" s="126"/>
      <c r="M37" s="126"/>
      <c r="N37" s="126"/>
      <c r="O37" s="126"/>
      <c r="P37" s="126"/>
      <c r="Q37" s="126"/>
      <c r="R37" s="126"/>
      <c r="S37" s="126"/>
      <c r="T37" s="126"/>
      <c r="U37" s="126"/>
      <c r="V37" s="126"/>
      <c r="W37" s="126"/>
      <c r="X37" s="126"/>
      <c r="Y37" s="126"/>
    </row>
    <row r="38" spans="2:25" ht="16.149999999999999" customHeight="1">
      <c r="B38" s="52">
        <v>6</v>
      </c>
      <c r="C38" s="126" t="str">
        <f>IFERROR(VLOOKUP(B38,'Step 1 - Fill in Details'!H:T,13,FALSE),"")</f>
        <v>External - Lorem ipso factum</v>
      </c>
      <c r="D38" s="126"/>
      <c r="E38" s="126"/>
      <c r="F38" s="126"/>
      <c r="G38" s="126"/>
      <c r="H38" s="126"/>
      <c r="I38" s="126"/>
      <c r="J38" s="126"/>
      <c r="K38" s="126"/>
      <c r="L38" s="126"/>
      <c r="M38" s="126"/>
      <c r="N38" s="126"/>
      <c r="O38" s="126"/>
      <c r="P38" s="126"/>
      <c r="Q38" s="126"/>
      <c r="R38" s="126"/>
      <c r="S38" s="126"/>
      <c r="T38" s="126"/>
      <c r="U38" s="126"/>
      <c r="V38" s="126"/>
      <c r="W38" s="126"/>
      <c r="X38" s="126"/>
      <c r="Y38" s="126"/>
    </row>
    <row r="39" spans="2:25" ht="17.25">
      <c r="B39" s="52">
        <v>7</v>
      </c>
      <c r="C39" s="126" t="str">
        <f>IFERROR(VLOOKUP(B39,'Step 1 - Fill in Details'!H:T,13,FALSE),"")</f>
        <v/>
      </c>
      <c r="D39" s="126"/>
      <c r="E39" s="126"/>
      <c r="F39" s="126"/>
      <c r="G39" s="126"/>
      <c r="H39" s="126"/>
      <c r="I39" s="126"/>
      <c r="J39" s="126"/>
      <c r="K39" s="126"/>
      <c r="L39" s="126"/>
      <c r="M39" s="126"/>
      <c r="N39" s="126"/>
      <c r="O39" s="126"/>
      <c r="P39" s="126"/>
      <c r="Q39" s="126"/>
      <c r="R39" s="126"/>
      <c r="S39" s="126"/>
      <c r="T39" s="126"/>
      <c r="U39" s="126"/>
      <c r="V39" s="126"/>
      <c r="W39" s="126"/>
      <c r="X39" s="126"/>
      <c r="Y39" s="126"/>
    </row>
    <row r="40" spans="2:25" ht="17.25">
      <c r="B40" s="52">
        <v>8</v>
      </c>
      <c r="C40" s="126" t="str">
        <f>IFERROR(VLOOKUP(B40,'Step 1 - Fill in Details'!H:T,13,FALSE),"")</f>
        <v/>
      </c>
      <c r="D40" s="126"/>
      <c r="E40" s="126"/>
      <c r="F40" s="126"/>
      <c r="G40" s="126"/>
      <c r="H40" s="126"/>
      <c r="I40" s="126"/>
      <c r="J40" s="126"/>
      <c r="K40" s="126"/>
      <c r="L40" s="126"/>
      <c r="M40" s="126"/>
      <c r="N40" s="126"/>
      <c r="O40" s="126"/>
      <c r="P40" s="126"/>
      <c r="Q40" s="126"/>
      <c r="R40" s="126"/>
      <c r="S40" s="126"/>
      <c r="T40" s="126"/>
      <c r="U40" s="126"/>
      <c r="V40" s="126"/>
      <c r="W40" s="126"/>
      <c r="X40" s="126"/>
      <c r="Y40" s="126"/>
    </row>
    <row r="41" spans="2:25" ht="17.25">
      <c r="B41" s="52">
        <v>9</v>
      </c>
      <c r="C41" s="126" t="str">
        <f>IFERROR(VLOOKUP(B41,'Step 1 - Fill in Details'!H:T,13,FALSE),"")</f>
        <v/>
      </c>
      <c r="D41" s="126"/>
      <c r="E41" s="126"/>
      <c r="F41" s="126"/>
      <c r="G41" s="126"/>
      <c r="H41" s="126"/>
      <c r="I41" s="126"/>
      <c r="J41" s="126"/>
      <c r="K41" s="126"/>
      <c r="L41" s="126"/>
      <c r="M41" s="126"/>
      <c r="N41" s="126"/>
      <c r="O41" s="126"/>
      <c r="P41" s="126"/>
      <c r="Q41" s="126"/>
      <c r="R41" s="126"/>
      <c r="S41" s="126"/>
      <c r="T41" s="126"/>
      <c r="U41" s="126"/>
      <c r="V41" s="126"/>
      <c r="W41" s="126"/>
      <c r="X41" s="126"/>
      <c r="Y41" s="126"/>
    </row>
    <row r="42" spans="2:25" ht="17.25">
      <c r="B42" s="52">
        <v>10</v>
      </c>
      <c r="C42" s="126" t="str">
        <f>IFERROR(VLOOKUP(B42,'Step 1 - Fill in Details'!H:T,13,FALSE),"")</f>
        <v/>
      </c>
      <c r="D42" s="126"/>
      <c r="E42" s="126"/>
      <c r="F42" s="126"/>
      <c r="G42" s="126"/>
      <c r="H42" s="126"/>
      <c r="I42" s="126"/>
      <c r="J42" s="126"/>
      <c r="K42" s="126"/>
      <c r="L42" s="126"/>
      <c r="M42" s="126"/>
      <c r="N42" s="126"/>
      <c r="O42" s="126"/>
      <c r="P42" s="126"/>
      <c r="Q42" s="126"/>
      <c r="R42" s="126"/>
      <c r="S42" s="126"/>
      <c r="T42" s="126"/>
      <c r="U42" s="126"/>
      <c r="V42" s="126"/>
      <c r="W42" s="126"/>
      <c r="X42" s="126"/>
      <c r="Y42" s="126"/>
    </row>
  </sheetData>
  <sheetProtection algorithmName="SHA-512" hashValue="CRtk5XcUk5vxgPUUkRF1JZRtwgg/ewhywqtl4jGQYisTaF4grz9+Bgx6Xt5rSSAksEYtCs/6JHNk40uXvYsLyw==" saltValue="7Cq6v4oasN49IwEunxpx/w==" spinCount="100000" sheet="1" objects="1" scenarios="1" selectLockedCells="1"/>
  <mergeCells count="16">
    <mergeCell ref="C4:C5"/>
    <mergeCell ref="B3:Y3"/>
    <mergeCell ref="B4:B31"/>
    <mergeCell ref="C31:X31"/>
    <mergeCell ref="Y4:Y31"/>
    <mergeCell ref="O4:X4"/>
    <mergeCell ref="C33:Y33"/>
    <mergeCell ref="C34:Y34"/>
    <mergeCell ref="C35:Y35"/>
    <mergeCell ref="C36:Y36"/>
    <mergeCell ref="C37:Y37"/>
    <mergeCell ref="C38:Y38"/>
    <mergeCell ref="C39:Y39"/>
    <mergeCell ref="C40:Y40"/>
    <mergeCell ref="C41:Y41"/>
    <mergeCell ref="C42:Y42"/>
  </mergeCells>
  <conditionalFormatting sqref="B33:B42">
    <cfRule type="expression" dxfId="12" priority="1">
      <formula>C33=""</formula>
    </cfRule>
  </conditionalFormatting>
  <conditionalFormatting sqref="C6:M30 P6:X30">
    <cfRule type="expression" dxfId="11" priority="2">
      <formula>NOT($A6)</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22CEF-A5FC-4BFE-B548-6C64F6C06429}">
  <dimension ref="F2:O57"/>
  <sheetViews>
    <sheetView showGridLines="0" showRowColHeaders="0" zoomScale="90" zoomScaleNormal="90" workbookViewId="0">
      <selection activeCell="CH22" sqref="CH22"/>
    </sheetView>
  </sheetViews>
  <sheetFormatPr defaultColWidth="1.5703125" defaultRowHeight="9" customHeight="1"/>
  <cols>
    <col min="6" max="15" width="3.5703125" customWidth="1"/>
  </cols>
  <sheetData>
    <row r="2" spans="6:15" ht="9" customHeight="1">
      <c r="F2" s="133" t="s">
        <v>31</v>
      </c>
      <c r="G2" s="133"/>
      <c r="H2" s="133"/>
      <c r="I2" s="133"/>
      <c r="J2" s="133"/>
      <c r="K2" s="133"/>
      <c r="L2" s="133"/>
      <c r="M2" s="133"/>
      <c r="N2" s="133"/>
      <c r="O2" s="133"/>
    </row>
    <row r="3" spans="6:15" ht="9" customHeight="1">
      <c r="F3" s="133"/>
      <c r="G3" s="133"/>
      <c r="H3" s="133"/>
      <c r="I3" s="133"/>
      <c r="J3" s="133"/>
      <c r="K3" s="133"/>
      <c r="L3" s="133"/>
      <c r="M3" s="133"/>
      <c r="N3" s="133"/>
      <c r="O3" s="133"/>
    </row>
    <row r="4" spans="6:15" ht="9" customHeight="1">
      <c r="F4" s="133"/>
      <c r="G4" s="133"/>
      <c r="H4" s="133"/>
      <c r="I4" s="133"/>
      <c r="J4" s="133"/>
      <c r="K4" s="133"/>
      <c r="L4" s="133"/>
      <c r="M4" s="133"/>
      <c r="N4" s="133"/>
      <c r="O4" s="133"/>
    </row>
    <row r="5" spans="6:15" ht="9" customHeight="1">
      <c r="F5" s="133"/>
      <c r="G5" s="133"/>
      <c r="H5" s="133"/>
      <c r="I5" s="133"/>
      <c r="J5" s="133"/>
      <c r="K5" s="133"/>
      <c r="L5" s="133"/>
      <c r="M5" s="133"/>
      <c r="N5" s="133"/>
      <c r="O5" s="133"/>
    </row>
    <row r="6" spans="6:15" ht="9" customHeight="1">
      <c r="F6" s="133"/>
      <c r="G6" s="133"/>
      <c r="H6" s="133"/>
      <c r="I6" s="133"/>
      <c r="J6" s="133"/>
      <c r="K6" s="133"/>
      <c r="L6" s="133"/>
      <c r="M6" s="133"/>
      <c r="N6" s="133"/>
      <c r="O6" s="133"/>
    </row>
    <row r="8" spans="6:15" ht="16.149999999999999" customHeight="1">
      <c r="F8" s="132" t="str">
        <f>'Step 2 - Scoring'!A11</f>
        <v>Example Use Case 1</v>
      </c>
      <c r="G8" s="132"/>
      <c r="H8" s="132"/>
      <c r="I8" s="132"/>
      <c r="J8" s="132"/>
      <c r="K8" s="132"/>
      <c r="L8" s="132"/>
      <c r="M8" s="132"/>
      <c r="N8" s="132"/>
      <c r="O8" s="132"/>
    </row>
    <row r="9" spans="6:15" ht="16.149999999999999" customHeight="1">
      <c r="F9" s="132"/>
      <c r="G9" s="132"/>
      <c r="H9" s="132"/>
      <c r="I9" s="132"/>
      <c r="J9" s="132"/>
      <c r="K9" s="132"/>
      <c r="L9" s="132"/>
      <c r="M9" s="132"/>
      <c r="N9" s="132"/>
      <c r="O9" s="132"/>
    </row>
    <row r="10" spans="6:15" ht="16.149999999999999" customHeight="1">
      <c r="F10" s="132" t="str">
        <f>'Step 2 - Scoring'!A12</f>
        <v>Example Use Case 2</v>
      </c>
      <c r="G10" s="132"/>
      <c r="H10" s="132"/>
      <c r="I10" s="132"/>
      <c r="J10" s="132"/>
      <c r="K10" s="132"/>
      <c r="L10" s="132"/>
      <c r="M10" s="132"/>
      <c r="N10" s="132"/>
      <c r="O10" s="132"/>
    </row>
    <row r="11" spans="6:15" ht="16.149999999999999" customHeight="1">
      <c r="F11" s="132"/>
      <c r="G11" s="132"/>
      <c r="H11" s="132"/>
      <c r="I11" s="132"/>
      <c r="J11" s="132"/>
      <c r="K11" s="132"/>
      <c r="L11" s="132"/>
      <c r="M11" s="132"/>
      <c r="N11" s="132"/>
      <c r="O11" s="132"/>
    </row>
    <row r="12" spans="6:15" ht="16.149999999999999" customHeight="1">
      <c r="F12" s="132" t="str">
        <f>'Step 2 - Scoring'!A13</f>
        <v>UC3</v>
      </c>
      <c r="G12" s="132"/>
      <c r="H12" s="132"/>
      <c r="I12" s="132"/>
      <c r="J12" s="132"/>
      <c r="K12" s="132"/>
      <c r="L12" s="132"/>
      <c r="M12" s="132"/>
      <c r="N12" s="132"/>
      <c r="O12" s="132"/>
    </row>
    <row r="13" spans="6:15" ht="16.149999999999999" customHeight="1">
      <c r="F13" s="132"/>
      <c r="G13" s="132"/>
      <c r="H13" s="132"/>
      <c r="I13" s="132"/>
      <c r="J13" s="132"/>
      <c r="K13" s="132"/>
      <c r="L13" s="132"/>
      <c r="M13" s="132"/>
      <c r="N13" s="132"/>
      <c r="O13" s="132"/>
    </row>
    <row r="14" spans="6:15" ht="16.149999999999999" customHeight="1">
      <c r="F14" s="132" t="str">
        <f>'Step 2 - Scoring'!A14</f>
        <v>UC4</v>
      </c>
      <c r="G14" s="132"/>
      <c r="H14" s="132"/>
      <c r="I14" s="132"/>
      <c r="J14" s="132"/>
      <c r="K14" s="132"/>
      <c r="L14" s="132"/>
      <c r="M14" s="132"/>
      <c r="N14" s="132"/>
      <c r="O14" s="132"/>
    </row>
    <row r="15" spans="6:15" ht="16.149999999999999" customHeight="1">
      <c r="F15" s="132"/>
      <c r="G15" s="132"/>
      <c r="H15" s="132"/>
      <c r="I15" s="132"/>
      <c r="J15" s="132"/>
      <c r="K15" s="132"/>
      <c r="L15" s="132"/>
      <c r="M15" s="132"/>
      <c r="N15" s="132"/>
      <c r="O15" s="132"/>
    </row>
    <row r="16" spans="6:15" ht="16.149999999999999" customHeight="1">
      <c r="F16" s="132" t="str">
        <f>'Step 2 - Scoring'!A15</f>
        <v>UC5</v>
      </c>
      <c r="G16" s="132"/>
      <c r="H16" s="132"/>
      <c r="I16" s="132"/>
      <c r="J16" s="132"/>
      <c r="K16" s="132"/>
      <c r="L16" s="132"/>
      <c r="M16" s="132"/>
      <c r="N16" s="132"/>
      <c r="O16" s="132"/>
    </row>
    <row r="17" spans="6:15" ht="16.149999999999999" customHeight="1">
      <c r="F17" s="132"/>
      <c r="G17" s="132"/>
      <c r="H17" s="132"/>
      <c r="I17" s="132"/>
      <c r="J17" s="132"/>
      <c r="K17" s="132"/>
      <c r="L17" s="132"/>
      <c r="M17" s="132"/>
      <c r="N17" s="132"/>
      <c r="O17" s="132"/>
    </row>
    <row r="18" spans="6:15" ht="16.149999999999999" customHeight="1">
      <c r="F18" s="132" t="str">
        <f>'Step 2 - Scoring'!A16</f>
        <v>UC6</v>
      </c>
      <c r="G18" s="132"/>
      <c r="H18" s="132"/>
      <c r="I18" s="132"/>
      <c r="J18" s="132"/>
      <c r="K18" s="132"/>
      <c r="L18" s="132"/>
      <c r="M18" s="132"/>
      <c r="N18" s="132"/>
      <c r="O18" s="132"/>
    </row>
    <row r="19" spans="6:15" ht="16.149999999999999" customHeight="1">
      <c r="F19" s="132"/>
      <c r="G19" s="132"/>
      <c r="H19" s="132"/>
      <c r="I19" s="132"/>
      <c r="J19" s="132"/>
      <c r="K19" s="132"/>
      <c r="L19" s="132"/>
      <c r="M19" s="132"/>
      <c r="N19" s="132"/>
      <c r="O19" s="132"/>
    </row>
    <row r="20" spans="6:15" ht="16.149999999999999" customHeight="1">
      <c r="F20" s="132" t="str">
        <f>'Step 2 - Scoring'!A17</f>
        <v>UC7</v>
      </c>
      <c r="G20" s="132"/>
      <c r="H20" s="132"/>
      <c r="I20" s="132"/>
      <c r="J20" s="132"/>
      <c r="K20" s="132"/>
      <c r="L20" s="132"/>
      <c r="M20" s="132"/>
      <c r="N20" s="132"/>
      <c r="O20" s="132"/>
    </row>
    <row r="21" spans="6:15" ht="16.149999999999999" customHeight="1">
      <c r="F21" s="132"/>
      <c r="G21" s="132"/>
      <c r="H21" s="132"/>
      <c r="I21" s="132"/>
      <c r="J21" s="132"/>
      <c r="K21" s="132"/>
      <c r="L21" s="132"/>
      <c r="M21" s="132"/>
      <c r="N21" s="132"/>
      <c r="O21" s="132"/>
    </row>
    <row r="22" spans="6:15" ht="16.149999999999999" customHeight="1">
      <c r="F22" s="132" t="str">
        <f>'Step 2 - Scoring'!A18</f>
        <v>UC8</v>
      </c>
      <c r="G22" s="132"/>
      <c r="H22" s="132"/>
      <c r="I22" s="132"/>
      <c r="J22" s="132"/>
      <c r="K22" s="132"/>
      <c r="L22" s="132"/>
      <c r="M22" s="132"/>
      <c r="N22" s="132"/>
      <c r="O22" s="132"/>
    </row>
    <row r="23" spans="6:15" ht="16.149999999999999" customHeight="1">
      <c r="F23" s="132"/>
      <c r="G23" s="132"/>
      <c r="H23" s="132"/>
      <c r="I23" s="132"/>
      <c r="J23" s="132"/>
      <c r="K23" s="132"/>
      <c r="L23" s="132"/>
      <c r="M23" s="132"/>
      <c r="N23" s="132"/>
      <c r="O23" s="132"/>
    </row>
    <row r="24" spans="6:15" ht="16.149999999999999" customHeight="1">
      <c r="F24" s="132" t="str">
        <f>'Step 2 - Scoring'!A19</f>
        <v>UC9</v>
      </c>
      <c r="G24" s="132"/>
      <c r="H24" s="132"/>
      <c r="I24" s="132"/>
      <c r="J24" s="132"/>
      <c r="K24" s="132"/>
      <c r="L24" s="132"/>
      <c r="M24" s="132"/>
      <c r="N24" s="132"/>
      <c r="O24" s="132"/>
    </row>
    <row r="25" spans="6:15" ht="16.149999999999999" customHeight="1">
      <c r="F25" s="132"/>
      <c r="G25" s="132"/>
      <c r="H25" s="132"/>
      <c r="I25" s="132"/>
      <c r="J25" s="132"/>
      <c r="K25" s="132"/>
      <c r="L25" s="132"/>
      <c r="M25" s="132"/>
      <c r="N25" s="132"/>
      <c r="O25" s="132"/>
    </row>
    <row r="26" spans="6:15" ht="16.149999999999999" customHeight="1">
      <c r="F26" s="132" t="str">
        <f>'Step 2 - Scoring'!A20</f>
        <v>UC10</v>
      </c>
      <c r="G26" s="132"/>
      <c r="H26" s="132"/>
      <c r="I26" s="132"/>
      <c r="J26" s="132"/>
      <c r="K26" s="132"/>
      <c r="L26" s="132"/>
      <c r="M26" s="132"/>
      <c r="N26" s="132"/>
      <c r="O26" s="132"/>
    </row>
    <row r="27" spans="6:15" ht="16.149999999999999" customHeight="1">
      <c r="F27" s="132"/>
      <c r="G27" s="132"/>
      <c r="H27" s="132"/>
      <c r="I27" s="132"/>
      <c r="J27" s="132"/>
      <c r="K27" s="132"/>
      <c r="L27" s="132"/>
      <c r="M27" s="132"/>
      <c r="N27" s="132"/>
      <c r="O27" s="132"/>
    </row>
    <row r="28" spans="6:15" ht="16.149999999999999" customHeight="1">
      <c r="F28" s="132" t="str">
        <f>'Step 2 - Scoring'!A21</f>
        <v>UC11</v>
      </c>
      <c r="G28" s="132"/>
      <c r="H28" s="132"/>
      <c r="I28" s="132"/>
      <c r="J28" s="132"/>
      <c r="K28" s="132"/>
      <c r="L28" s="132"/>
      <c r="M28" s="132"/>
      <c r="N28" s="132"/>
      <c r="O28" s="132"/>
    </row>
    <row r="29" spans="6:15" ht="16.149999999999999" customHeight="1">
      <c r="F29" s="132"/>
      <c r="G29" s="132"/>
      <c r="H29" s="132"/>
      <c r="I29" s="132"/>
      <c r="J29" s="132"/>
      <c r="K29" s="132"/>
      <c r="L29" s="132"/>
      <c r="M29" s="132"/>
      <c r="N29" s="132"/>
      <c r="O29" s="132"/>
    </row>
    <row r="30" spans="6:15" ht="16.149999999999999" customHeight="1">
      <c r="F30" s="132" t="str">
        <f>'Step 2 - Scoring'!A22</f>
        <v>UC12</v>
      </c>
      <c r="G30" s="132"/>
      <c r="H30" s="132"/>
      <c r="I30" s="132"/>
      <c r="J30" s="132"/>
      <c r="K30" s="132"/>
      <c r="L30" s="132"/>
      <c r="M30" s="132"/>
      <c r="N30" s="132"/>
      <c r="O30" s="132"/>
    </row>
    <row r="31" spans="6:15" ht="16.149999999999999" customHeight="1">
      <c r="F31" s="132"/>
      <c r="G31" s="132"/>
      <c r="H31" s="132"/>
      <c r="I31" s="132"/>
      <c r="J31" s="132"/>
      <c r="K31" s="132"/>
      <c r="L31" s="132"/>
      <c r="M31" s="132"/>
      <c r="N31" s="132"/>
      <c r="O31" s="132"/>
    </row>
    <row r="32" spans="6:15" ht="16.149999999999999" customHeight="1">
      <c r="F32" s="132" t="str">
        <f>'Step 2 - Scoring'!A23</f>
        <v>UC13</v>
      </c>
      <c r="G32" s="132"/>
      <c r="H32" s="132"/>
      <c r="I32" s="132"/>
      <c r="J32" s="132"/>
      <c r="K32" s="132"/>
      <c r="L32" s="132"/>
      <c r="M32" s="132"/>
      <c r="N32" s="132"/>
      <c r="O32" s="132"/>
    </row>
    <row r="33" spans="6:15" ht="16.149999999999999" customHeight="1">
      <c r="F33" s="132"/>
      <c r="G33" s="132"/>
      <c r="H33" s="132"/>
      <c r="I33" s="132"/>
      <c r="J33" s="132"/>
      <c r="K33" s="132"/>
      <c r="L33" s="132"/>
      <c r="M33" s="132"/>
      <c r="N33" s="132"/>
      <c r="O33" s="132"/>
    </row>
    <row r="34" spans="6:15" ht="16.149999999999999" customHeight="1">
      <c r="F34" s="132" t="str">
        <f>'Step 2 - Scoring'!A24</f>
        <v>UC14</v>
      </c>
      <c r="G34" s="132"/>
      <c r="H34" s="132"/>
      <c r="I34" s="132"/>
      <c r="J34" s="132"/>
      <c r="K34" s="132"/>
      <c r="L34" s="132"/>
      <c r="M34" s="132"/>
      <c r="N34" s="132"/>
      <c r="O34" s="132"/>
    </row>
    <row r="35" spans="6:15" ht="16.149999999999999" customHeight="1">
      <c r="F35" s="132"/>
      <c r="G35" s="132"/>
      <c r="H35" s="132"/>
      <c r="I35" s="132"/>
      <c r="J35" s="132"/>
      <c r="K35" s="132"/>
      <c r="L35" s="132"/>
      <c r="M35" s="132"/>
      <c r="N35" s="132"/>
      <c r="O35" s="132"/>
    </row>
    <row r="36" spans="6:15" ht="16.149999999999999" customHeight="1">
      <c r="F36" s="132" t="str">
        <f>'Step 2 - Scoring'!A25</f>
        <v>UC15</v>
      </c>
      <c r="G36" s="132"/>
      <c r="H36" s="132"/>
      <c r="I36" s="132"/>
      <c r="J36" s="132"/>
      <c r="K36" s="132"/>
      <c r="L36" s="132"/>
      <c r="M36" s="132"/>
      <c r="N36" s="132"/>
      <c r="O36" s="132"/>
    </row>
    <row r="37" spans="6:15" ht="16.149999999999999" customHeight="1">
      <c r="F37" s="132"/>
      <c r="G37" s="132"/>
      <c r="H37" s="132"/>
      <c r="I37" s="132"/>
      <c r="J37" s="132"/>
      <c r="K37" s="132"/>
      <c r="L37" s="132"/>
      <c r="M37" s="132"/>
      <c r="N37" s="132"/>
      <c r="O37" s="132"/>
    </row>
    <row r="38" spans="6:15" ht="16.149999999999999" customHeight="1">
      <c r="F38" s="132" t="str">
        <f>'Step 2 - Scoring'!A26</f>
        <v>UC16</v>
      </c>
      <c r="G38" s="132"/>
      <c r="H38" s="132"/>
      <c r="I38" s="132"/>
      <c r="J38" s="132"/>
      <c r="K38" s="132"/>
      <c r="L38" s="132"/>
      <c r="M38" s="132"/>
      <c r="N38" s="132"/>
      <c r="O38" s="132"/>
    </row>
    <row r="39" spans="6:15" ht="16.149999999999999" customHeight="1">
      <c r="F39" s="132"/>
      <c r="G39" s="132"/>
      <c r="H39" s="132"/>
      <c r="I39" s="132"/>
      <c r="J39" s="132"/>
      <c r="K39" s="132"/>
      <c r="L39" s="132"/>
      <c r="M39" s="132"/>
      <c r="N39" s="132"/>
      <c r="O39" s="132"/>
    </row>
    <row r="40" spans="6:15" ht="16.149999999999999" customHeight="1">
      <c r="F40" s="132" t="str">
        <f>'Step 2 - Scoring'!A27</f>
        <v>UC17</v>
      </c>
      <c r="G40" s="132"/>
      <c r="H40" s="132"/>
      <c r="I40" s="132"/>
      <c r="J40" s="132"/>
      <c r="K40" s="132"/>
      <c r="L40" s="132"/>
      <c r="M40" s="132"/>
      <c r="N40" s="132"/>
      <c r="O40" s="132"/>
    </row>
    <row r="41" spans="6:15" ht="16.149999999999999" customHeight="1">
      <c r="F41" s="132"/>
      <c r="G41" s="132"/>
      <c r="H41" s="132"/>
      <c r="I41" s="132"/>
      <c r="J41" s="132"/>
      <c r="K41" s="132"/>
      <c r="L41" s="132"/>
      <c r="M41" s="132"/>
      <c r="N41" s="132"/>
      <c r="O41" s="132"/>
    </row>
    <row r="42" spans="6:15" ht="16.149999999999999" customHeight="1">
      <c r="F42" s="132" t="str">
        <f>'Step 2 - Scoring'!A28</f>
        <v>UC18</v>
      </c>
      <c r="G42" s="132"/>
      <c r="H42" s="132"/>
      <c r="I42" s="132"/>
      <c r="J42" s="132"/>
      <c r="K42" s="132"/>
      <c r="L42" s="132"/>
      <c r="M42" s="132"/>
      <c r="N42" s="132"/>
      <c r="O42" s="132"/>
    </row>
    <row r="43" spans="6:15" ht="16.149999999999999" customHeight="1">
      <c r="F43" s="132"/>
      <c r="G43" s="132"/>
      <c r="H43" s="132"/>
      <c r="I43" s="132"/>
      <c r="J43" s="132"/>
      <c r="K43" s="132"/>
      <c r="L43" s="132"/>
      <c r="M43" s="132"/>
      <c r="N43" s="132"/>
      <c r="O43" s="132"/>
    </row>
    <row r="44" spans="6:15" ht="16.149999999999999" customHeight="1">
      <c r="F44" s="132" t="str">
        <f>'Step 2 - Scoring'!A29</f>
        <v>UC19</v>
      </c>
      <c r="G44" s="132"/>
      <c r="H44" s="132"/>
      <c r="I44" s="132"/>
      <c r="J44" s="132"/>
      <c r="K44" s="132"/>
      <c r="L44" s="132"/>
      <c r="M44" s="132"/>
      <c r="N44" s="132"/>
      <c r="O44" s="132"/>
    </row>
    <row r="45" spans="6:15" ht="16.149999999999999" customHeight="1">
      <c r="F45" s="132"/>
      <c r="G45" s="132"/>
      <c r="H45" s="132"/>
      <c r="I45" s="132"/>
      <c r="J45" s="132"/>
      <c r="K45" s="132"/>
      <c r="L45" s="132"/>
      <c r="M45" s="132"/>
      <c r="N45" s="132"/>
      <c r="O45" s="132"/>
    </row>
    <row r="46" spans="6:15" ht="16.149999999999999" customHeight="1">
      <c r="F46" s="132" t="str">
        <f>'Step 2 - Scoring'!A30</f>
        <v>UC20</v>
      </c>
      <c r="G46" s="132"/>
      <c r="H46" s="132"/>
      <c r="I46" s="132"/>
      <c r="J46" s="132"/>
      <c r="K46" s="132"/>
      <c r="L46" s="132"/>
      <c r="M46" s="132"/>
      <c r="N46" s="132"/>
      <c r="O46" s="132"/>
    </row>
    <row r="47" spans="6:15" ht="16.149999999999999" customHeight="1">
      <c r="F47" s="132"/>
      <c r="G47" s="132"/>
      <c r="H47" s="132"/>
      <c r="I47" s="132"/>
      <c r="J47" s="132"/>
      <c r="K47" s="132"/>
      <c r="L47" s="132"/>
      <c r="M47" s="132"/>
      <c r="N47" s="132"/>
      <c r="O47" s="132"/>
    </row>
    <row r="48" spans="6:15" ht="16.149999999999999" customHeight="1">
      <c r="F48" s="132" t="str">
        <f>'Step 2 - Scoring'!A31</f>
        <v>UC21</v>
      </c>
      <c r="G48" s="132"/>
      <c r="H48" s="132"/>
      <c r="I48" s="132"/>
      <c r="J48" s="132"/>
      <c r="K48" s="132"/>
      <c r="L48" s="132"/>
      <c r="M48" s="132"/>
      <c r="N48" s="132"/>
      <c r="O48" s="132"/>
    </row>
    <row r="49" spans="6:15" ht="16.149999999999999" customHeight="1">
      <c r="F49" s="132"/>
      <c r="G49" s="132"/>
      <c r="H49" s="132"/>
      <c r="I49" s="132"/>
      <c r="J49" s="132"/>
      <c r="K49" s="132"/>
      <c r="L49" s="132"/>
      <c r="M49" s="132"/>
      <c r="N49" s="132"/>
      <c r="O49" s="132"/>
    </row>
    <row r="50" spans="6:15" ht="16.149999999999999" customHeight="1">
      <c r="F50" s="132" t="str">
        <f>'Step 2 - Scoring'!A32</f>
        <v>UC22</v>
      </c>
      <c r="G50" s="132"/>
      <c r="H50" s="132"/>
      <c r="I50" s="132"/>
      <c r="J50" s="132"/>
      <c r="K50" s="132"/>
      <c r="L50" s="132"/>
      <c r="M50" s="132"/>
      <c r="N50" s="132"/>
      <c r="O50" s="132"/>
    </row>
    <row r="51" spans="6:15" ht="16.149999999999999" customHeight="1">
      <c r="F51" s="132"/>
      <c r="G51" s="132"/>
      <c r="H51" s="132"/>
      <c r="I51" s="132"/>
      <c r="J51" s="132"/>
      <c r="K51" s="132"/>
      <c r="L51" s="132"/>
      <c r="M51" s="132"/>
      <c r="N51" s="132"/>
      <c r="O51" s="132"/>
    </row>
    <row r="52" spans="6:15" ht="16.149999999999999" customHeight="1">
      <c r="F52" s="132" t="str">
        <f>'Step 2 - Scoring'!A33</f>
        <v>UC23</v>
      </c>
      <c r="G52" s="132"/>
      <c r="H52" s="132"/>
      <c r="I52" s="132"/>
      <c r="J52" s="132"/>
      <c r="K52" s="132"/>
      <c r="L52" s="132"/>
      <c r="M52" s="132"/>
      <c r="N52" s="132"/>
      <c r="O52" s="132"/>
    </row>
    <row r="53" spans="6:15" ht="16.149999999999999" customHeight="1">
      <c r="F53" s="132"/>
      <c r="G53" s="132"/>
      <c r="H53" s="132"/>
      <c r="I53" s="132"/>
      <c r="J53" s="132"/>
      <c r="K53" s="132"/>
      <c r="L53" s="132"/>
      <c r="M53" s="132"/>
      <c r="N53" s="132"/>
      <c r="O53" s="132"/>
    </row>
    <row r="54" spans="6:15" ht="16.149999999999999" customHeight="1">
      <c r="F54" s="132" t="str">
        <f>'Step 2 - Scoring'!A34</f>
        <v>UC24</v>
      </c>
      <c r="G54" s="132"/>
      <c r="H54" s="132"/>
      <c r="I54" s="132"/>
      <c r="J54" s="132"/>
      <c r="K54" s="132"/>
      <c r="L54" s="132"/>
      <c r="M54" s="132"/>
      <c r="N54" s="132"/>
      <c r="O54" s="132"/>
    </row>
    <row r="55" spans="6:15" ht="16.149999999999999" customHeight="1">
      <c r="F55" s="132"/>
      <c r="G55" s="132"/>
      <c r="H55" s="132"/>
      <c r="I55" s="132"/>
      <c r="J55" s="132"/>
      <c r="K55" s="132"/>
      <c r="L55" s="132"/>
      <c r="M55" s="132"/>
      <c r="N55" s="132"/>
      <c r="O55" s="132"/>
    </row>
    <row r="56" spans="6:15" ht="16.149999999999999" customHeight="1">
      <c r="F56" s="132" t="str">
        <f>'Step 2 - Scoring'!A35</f>
        <v>UC25</v>
      </c>
      <c r="G56" s="132"/>
      <c r="H56" s="132"/>
      <c r="I56" s="132"/>
      <c r="J56" s="132"/>
      <c r="K56" s="132"/>
      <c r="L56" s="132"/>
      <c r="M56" s="132"/>
      <c r="N56" s="132"/>
      <c r="O56" s="132"/>
    </row>
    <row r="57" spans="6:15" ht="16.149999999999999" customHeight="1">
      <c r="F57" s="132"/>
      <c r="G57" s="132"/>
      <c r="H57" s="132"/>
      <c r="I57" s="132"/>
      <c r="J57" s="132"/>
      <c r="K57" s="132"/>
      <c r="L57" s="132"/>
      <c r="M57" s="132"/>
      <c r="N57" s="132"/>
      <c r="O57" s="132"/>
    </row>
  </sheetData>
  <sheetProtection selectLockedCells="1" selectUnlockedCells="1"/>
  <mergeCells count="26">
    <mergeCell ref="F2:O6"/>
    <mergeCell ref="F56:O57"/>
    <mergeCell ref="F44:O45"/>
    <mergeCell ref="F46:O47"/>
    <mergeCell ref="F48:O49"/>
    <mergeCell ref="F50:O51"/>
    <mergeCell ref="F52:O53"/>
    <mergeCell ref="F54:O55"/>
    <mergeCell ref="F32:O33"/>
    <mergeCell ref="F34:O35"/>
    <mergeCell ref="F36:O37"/>
    <mergeCell ref="F38:O39"/>
    <mergeCell ref="F40:O41"/>
    <mergeCell ref="F42:O43"/>
    <mergeCell ref="F20:O21"/>
    <mergeCell ref="F22:O23"/>
    <mergeCell ref="F24:O25"/>
    <mergeCell ref="F26:O27"/>
    <mergeCell ref="F28:O29"/>
    <mergeCell ref="F30:O31"/>
    <mergeCell ref="F8:O9"/>
    <mergeCell ref="F10:O11"/>
    <mergeCell ref="F12:O13"/>
    <mergeCell ref="F14:O15"/>
    <mergeCell ref="F16:O17"/>
    <mergeCell ref="F18:O19"/>
  </mergeCells>
  <conditionalFormatting sqref="F8:O57">
    <cfRule type="beginsWith" dxfId="10" priority="1" operator="beginsWith" text="UC">
      <formula>LEFT(F8,LEN("UC"))="UC"</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1D9FE-8A58-4364-9317-E1FBD331E01A}">
  <dimension ref="A1"/>
  <sheetViews>
    <sheetView showGridLines="0" showRowColHeaders="0" workbookViewId="0">
      <selection activeCell="AB32" sqref="AB32"/>
    </sheetView>
  </sheetViews>
  <sheetFormatPr defaultRowHeight="15"/>
  <sheetData/>
  <sheetProtection algorithmName="SHA-512" hashValue="8jj4Q48FtaImX7JWJbhrPh7CItx0iPPWdVJR1kkL+kok9vA9U+ujBa1hlxD7ZdPa1/IVfR3mCg0MV29UO1ohOA==" saltValue="n3e2Lvwmow91ZpdC3co34w==" spinCount="100000" sheet="1" scenarios="1" selectLockedCells="1" selectUnlockedCells="1"/>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B923B-475D-44CB-9259-2B24D3146114}">
  <dimension ref="A1:AN42"/>
  <sheetViews>
    <sheetView showGridLines="0" showZeros="0" zoomScale="80" zoomScaleNormal="80" workbookViewId="0">
      <selection activeCell="D12" sqref="D12"/>
    </sheetView>
  </sheetViews>
  <sheetFormatPr defaultColWidth="8.7109375" defaultRowHeight="15"/>
  <cols>
    <col min="1" max="1" width="4.28515625" style="1" bestFit="1" customWidth="1"/>
    <col min="2" max="2" width="39.7109375" style="1" customWidth="1"/>
    <col min="3" max="4" width="8.7109375" style="2"/>
    <col min="5" max="6" width="8.7109375" style="1"/>
    <col min="7" max="8" width="0" style="1" hidden="1" customWidth="1"/>
    <col min="9" max="9" width="12.5703125" style="1" customWidth="1"/>
    <col min="10" max="12" width="8.85546875" style="1" customWidth="1"/>
    <col min="13" max="13" width="9.5703125" style="1" bestFit="1" customWidth="1"/>
    <col min="14" max="20" width="8.7109375" style="1"/>
    <col min="21" max="21" width="3.7109375" style="29" customWidth="1"/>
    <col min="22" max="22" width="1.7109375" style="1" customWidth="1"/>
    <col min="23" max="23" width="25.7109375" style="1" customWidth="1"/>
    <col min="24" max="24" width="1.7109375" style="1" customWidth="1"/>
    <col min="25" max="25" width="3.7109375" style="29" customWidth="1"/>
    <col min="26" max="26" width="1.7109375" style="1" customWidth="1"/>
    <col min="27" max="27" width="25.7109375" style="1" customWidth="1"/>
    <col min="28" max="28" width="1.7109375" style="1" customWidth="1"/>
    <col min="29" max="29" width="3.7109375" style="29" customWidth="1"/>
    <col min="30" max="30" width="1.7109375" style="1" customWidth="1"/>
    <col min="31" max="31" width="25.7109375" style="1" customWidth="1"/>
    <col min="32" max="32" width="1.7109375" style="1" customWidth="1"/>
    <col min="33" max="33" width="3.7109375" style="29" customWidth="1"/>
    <col min="34" max="34" width="1.7109375" style="1" customWidth="1"/>
    <col min="35" max="35" width="25.7109375" style="1" customWidth="1"/>
    <col min="36" max="36" width="1.7109375" style="1" customWidth="1"/>
    <col min="37" max="37" width="3.7109375" style="29" customWidth="1"/>
    <col min="38" max="38" width="1.7109375" style="1" customWidth="1"/>
    <col min="39" max="39" width="25.7109375" style="1" customWidth="1"/>
    <col min="40" max="16384" width="8.7109375" style="1"/>
  </cols>
  <sheetData>
    <row r="1" spans="1:19">
      <c r="C1" s="2">
        <v>0</v>
      </c>
      <c r="D1" s="2">
        <v>0</v>
      </c>
    </row>
    <row r="3" spans="1:19" ht="15.75" thickBot="1">
      <c r="C3" s="2" t="s">
        <v>17</v>
      </c>
      <c r="D3" s="2" t="s">
        <v>18</v>
      </c>
      <c r="E3" s="1" t="s">
        <v>19</v>
      </c>
      <c r="F3" s="1" t="s">
        <v>20</v>
      </c>
      <c r="G3" s="1" t="s">
        <v>21</v>
      </c>
      <c r="H3" s="1" t="s">
        <v>22</v>
      </c>
      <c r="I3" s="1" t="s">
        <v>23</v>
      </c>
      <c r="J3" s="1" t="s">
        <v>24</v>
      </c>
      <c r="M3" s="1" t="s">
        <v>61</v>
      </c>
      <c r="O3" s="134" t="s">
        <v>25</v>
      </c>
      <c r="P3" s="134"/>
      <c r="Q3" s="134"/>
      <c r="R3" s="134"/>
      <c r="S3" s="134"/>
    </row>
    <row r="4" spans="1:19" ht="16.5" thickTop="1" thickBot="1">
      <c r="A4" s="3">
        <v>1</v>
      </c>
      <c r="B4" s="3" t="str">
        <f ca="1">INDEX('Step 2 - Scoring'!$A$11:$Q$35,MATCH(M4,'Step 2 - Scoring'!$Q$11:$Q$35,0),1)</f>
        <v>Example Use Case 1</v>
      </c>
      <c r="C4" s="4">
        <f ca="1">INDEX('Step 2 - Scoring'!$A$11:$Q$35,MATCH(M4,'Step 2 - Scoring'!$Q$11:$Q$35,0),16)</f>
        <v>1.5714285714285716</v>
      </c>
      <c r="D4" s="4">
        <f ca="1">INDEX('Step 2 - Scoring'!$A$11:$Q$35,MATCH(M4,'Step 2 - Scoring'!$Q$11:$Q$35,0),15)</f>
        <v>2.4</v>
      </c>
      <c r="E4" s="5">
        <f ca="1">C4</f>
        <v>1.5714285714285716</v>
      </c>
      <c r="F4" s="5">
        <f ca="1">D4</f>
        <v>2.4</v>
      </c>
      <c r="G4" s="5">
        <f ca="1">E4/4</f>
        <v>0.3928571428571429</v>
      </c>
      <c r="H4" s="5">
        <f ca="1">D4/4</f>
        <v>0.6</v>
      </c>
      <c r="I4" s="1">
        <f ca="1">IF(AND(E4=0,F4=0),NA(),(E4*COS(PI()/4)-F4*(SIN(PI()/4)))/3)</f>
        <v>-0.19529615861342728</v>
      </c>
      <c r="J4" s="1">
        <f ca="1">IF(AND(E4=0,F4=0),NA(),(E4*SIN(PI()/4)+F4*(COS(PI()/4)))/3)</f>
        <v>0.93607469128504872</v>
      </c>
      <c r="M4" s="1">
        <f ca="1">LARGE('Step 2 - Scoring'!$Q$11:$Q$35,N4)</f>
        <v>3.9714295714285783</v>
      </c>
      <c r="N4" s="1">
        <v>1</v>
      </c>
      <c r="O4" s="134"/>
      <c r="P4" s="134"/>
      <c r="Q4" s="134"/>
      <c r="R4" s="134"/>
      <c r="S4" s="134"/>
    </row>
    <row r="5" spans="1:19" ht="16.5" thickTop="1" thickBot="1">
      <c r="A5" s="3">
        <v>2</v>
      </c>
      <c r="B5" s="3" t="str">
        <f ca="1">INDEX('Step 2 - Scoring'!$A$11:$Q$35,MATCH(M5,'Step 2 - Scoring'!$Q$11:$Q$35,0),1)</f>
        <v>Example Use Case 2</v>
      </c>
      <c r="C5" s="4">
        <f ca="1">INDEX('Step 2 - Scoring'!$A$11:$Q$35,MATCH(M5,'Step 2 - Scoring'!$Q$11:$Q$35,0),16)</f>
        <v>1</v>
      </c>
      <c r="D5" s="4">
        <f ca="1">INDEX('Step 2 - Scoring'!$A$11:$Q$35,MATCH(M5,'Step 2 - Scoring'!$Q$11:$Q$35,0),15)</f>
        <v>1.2</v>
      </c>
      <c r="E5" s="5">
        <f t="shared" ref="E5:F28" ca="1" si="0">C5</f>
        <v>1</v>
      </c>
      <c r="F5" s="5">
        <f t="shared" ca="1" si="0"/>
        <v>1.2</v>
      </c>
      <c r="G5" s="5">
        <f ca="1">E5/4</f>
        <v>0.25</v>
      </c>
      <c r="H5" s="5">
        <f ca="1">D5/4</f>
        <v>0.3</v>
      </c>
      <c r="I5" s="1">
        <f t="shared" ref="I5:I28" ca="1" si="1">IF(AND(E5=0,F5=0),NA(),(E5*COS(PI()/4)-F5*(SIN(PI()/4)))/3)</f>
        <v>-4.7140452079103112E-2</v>
      </c>
      <c r="J5" s="1">
        <f t="shared" ref="J5:J28" ca="1" si="2">IF(AND(E5=0,F5=0),NA(),(E5*SIN(PI()/4)+F5*(COS(PI()/4)))/3)</f>
        <v>0.5185449728701349</v>
      </c>
      <c r="M5" s="1">
        <f ca="1">LARGE('Step 2 - Scoring'!$Q$11:$Q$35,N5)</f>
        <v>2.2000005000000047</v>
      </c>
      <c r="N5" s="1">
        <v>2</v>
      </c>
      <c r="O5" s="134"/>
      <c r="P5" s="134"/>
      <c r="Q5" s="134"/>
      <c r="R5" s="134"/>
      <c r="S5" s="134"/>
    </row>
    <row r="6" spans="1:19" ht="16.5" thickTop="1" thickBot="1">
      <c r="A6" s="3">
        <v>3</v>
      </c>
      <c r="B6" s="3" t="str">
        <f ca="1">INDEX('Step 2 - Scoring'!$A$11:$Q$35,MATCH(M6,'Step 2 - Scoring'!$Q$11:$Q$35,0),1)</f>
        <v>UC3</v>
      </c>
      <c r="C6" s="4">
        <f ca="1">INDEX('Step 2 - Scoring'!$A$11:$Q$35,MATCH(M6,'Step 2 - Scoring'!$Q$11:$Q$35,0),16)</f>
        <v>0</v>
      </c>
      <c r="D6" s="4">
        <f ca="1">INDEX('Step 2 - Scoring'!$A$11:$Q$35,MATCH(M6,'Step 2 - Scoring'!$Q$11:$Q$35,0),15)</f>
        <v>0</v>
      </c>
      <c r="E6" s="5">
        <f t="shared" ca="1" si="0"/>
        <v>0</v>
      </c>
      <c r="F6" s="5">
        <f t="shared" ca="1" si="0"/>
        <v>0</v>
      </c>
      <c r="G6" s="5">
        <f t="shared" ref="G6:G28" ca="1" si="3">E6/4</f>
        <v>0</v>
      </c>
      <c r="H6" s="5">
        <f t="shared" ref="H6:H28" ca="1" si="4">D6/4</f>
        <v>0</v>
      </c>
      <c r="I6" s="1" t="e">
        <f t="shared" ca="1" si="1"/>
        <v>#N/A</v>
      </c>
      <c r="J6" s="1" t="e">
        <f t="shared" ca="1" si="2"/>
        <v>#N/A</v>
      </c>
      <c r="M6" s="1">
        <f ca="1">LARGE('Step 2 - Scoring'!$Q$11:$Q$35,N6)</f>
        <v>3.3333333656067648E-7</v>
      </c>
      <c r="N6" s="1">
        <v>3</v>
      </c>
      <c r="O6" s="134"/>
      <c r="P6" s="134"/>
      <c r="Q6" s="134"/>
      <c r="R6" s="134"/>
      <c r="S6" s="134"/>
    </row>
    <row r="7" spans="1:19" ht="16.5" thickTop="1" thickBot="1">
      <c r="A7" s="3">
        <v>4</v>
      </c>
      <c r="B7" s="3" t="str">
        <f ca="1">INDEX('Step 2 - Scoring'!$A$11:$Q$35,MATCH(M7,'Step 2 - Scoring'!$Q$11:$Q$35,0),1)</f>
        <v>UC4</v>
      </c>
      <c r="C7" s="4">
        <f ca="1">INDEX('Step 2 - Scoring'!$A$11:$Q$35,MATCH(M7,'Step 2 - Scoring'!$Q$11:$Q$35,0),16)</f>
        <v>0</v>
      </c>
      <c r="D7" s="4">
        <f ca="1">INDEX('Step 2 - Scoring'!$A$11:$Q$35,MATCH(M7,'Step 2 - Scoring'!$Q$11:$Q$35,0),15)</f>
        <v>0</v>
      </c>
      <c r="E7" s="5">
        <f t="shared" ca="1" si="0"/>
        <v>0</v>
      </c>
      <c r="F7" s="5">
        <f t="shared" ca="1" si="0"/>
        <v>0</v>
      </c>
      <c r="G7" s="5">
        <f t="shared" ca="1" si="3"/>
        <v>0</v>
      </c>
      <c r="H7" s="5">
        <f t="shared" ca="1" si="4"/>
        <v>0</v>
      </c>
      <c r="I7" s="1" t="e">
        <f t="shared" ca="1" si="1"/>
        <v>#N/A</v>
      </c>
      <c r="J7" s="1" t="e">
        <f t="shared" ca="1" si="2"/>
        <v>#N/A</v>
      </c>
      <c r="M7" s="1">
        <f ca="1">LARGE('Step 2 - Scoring'!$Q$11:$Q$35,N7)</f>
        <v>2.500000076745212E-7</v>
      </c>
      <c r="N7" s="1">
        <v>4</v>
      </c>
    </row>
    <row r="8" spans="1:19" ht="16.5" thickTop="1" thickBot="1">
      <c r="A8" s="3">
        <v>5</v>
      </c>
      <c r="B8" s="3" t="str">
        <f ca="1">INDEX('Step 2 - Scoring'!$A$11:$Q$35,MATCH(M8,'Step 2 - Scoring'!$Q$11:$Q$35,0),1)</f>
        <v>UC5</v>
      </c>
      <c r="C8" s="4">
        <f ca="1">INDEX('Step 2 - Scoring'!$A$11:$Q$35,MATCH(M8,'Step 2 - Scoring'!$Q$11:$Q$35,0),16)</f>
        <v>0</v>
      </c>
      <c r="D8" s="4">
        <f ca="1">INDEX('Step 2 - Scoring'!$A$11:$Q$35,MATCH(M8,'Step 2 - Scoring'!$Q$11:$Q$35,0),15)</f>
        <v>0</v>
      </c>
      <c r="E8" s="5">
        <f t="shared" ca="1" si="0"/>
        <v>0</v>
      </c>
      <c r="F8" s="5">
        <f t="shared" ca="1" si="0"/>
        <v>0</v>
      </c>
      <c r="G8" s="5">
        <f t="shared" ca="1" si="3"/>
        <v>0</v>
      </c>
      <c r="H8" s="5">
        <f t="shared" ca="1" si="4"/>
        <v>0</v>
      </c>
      <c r="I8" s="1" t="e">
        <f t="shared" ca="1" si="1"/>
        <v>#N/A</v>
      </c>
      <c r="J8" s="1" t="e">
        <f t="shared" ca="1" si="2"/>
        <v>#N/A</v>
      </c>
      <c r="M8" s="1">
        <f ca="1">LARGE('Step 2 - Scoring'!$Q$11:$Q$35,N8)</f>
        <v>2.000000082559626E-7</v>
      </c>
      <c r="N8" s="1">
        <v>5</v>
      </c>
    </row>
    <row r="9" spans="1:19" ht="16.5" thickTop="1" thickBot="1">
      <c r="A9" s="3">
        <v>6</v>
      </c>
      <c r="B9" s="3" t="str">
        <f ca="1">INDEX('Step 2 - Scoring'!$A$11:$Q$35,MATCH(M9,'Step 2 - Scoring'!$Q$11:$Q$35,0),1)</f>
        <v>UC6</v>
      </c>
      <c r="C9" s="4">
        <f ca="1">INDEX('Step 2 - Scoring'!$A$11:$Q$35,MATCH(M9,'Step 2 - Scoring'!$Q$11:$Q$35,0),16)</f>
        <v>0</v>
      </c>
      <c r="D9" s="4">
        <f ca="1">INDEX('Step 2 - Scoring'!$A$11:$Q$35,MATCH(M9,'Step 2 - Scoring'!$Q$11:$Q$35,0),15)</f>
        <v>0</v>
      </c>
      <c r="E9" s="5">
        <f t="shared" ca="1" si="0"/>
        <v>0</v>
      </c>
      <c r="F9" s="5">
        <f t="shared" ca="1" si="0"/>
        <v>0</v>
      </c>
      <c r="G9" s="5">
        <f t="shared" ca="1" si="3"/>
        <v>0</v>
      </c>
      <c r="H9" s="5">
        <f t="shared" ca="1" si="4"/>
        <v>0</v>
      </c>
      <c r="I9" s="1" t="e">
        <f t="shared" ca="1" si="1"/>
        <v>#N/A</v>
      </c>
      <c r="J9" s="1" t="e">
        <f t="shared" ca="1" si="2"/>
        <v>#N/A</v>
      </c>
      <c r="M9" s="1">
        <f ca="1">LARGE('Step 2 - Scoring'!$Q$11:$Q$35,N9)</f>
        <v>1.6666667043270791E-7</v>
      </c>
      <c r="N9" s="1">
        <v>6</v>
      </c>
    </row>
    <row r="10" spans="1:19" ht="16.5" thickTop="1" thickBot="1">
      <c r="A10" s="3">
        <v>7</v>
      </c>
      <c r="B10" s="3" t="str">
        <f ca="1">INDEX('Step 2 - Scoring'!$A$11:$Q$35,MATCH(M10,'Step 2 - Scoring'!$Q$11:$Q$35,0),1)</f>
        <v>UC7</v>
      </c>
      <c r="C10" s="4">
        <f ca="1">INDEX('Step 2 - Scoring'!$A$11:$Q$35,MATCH(M10,'Step 2 - Scoring'!$Q$11:$Q$35,0),16)</f>
        <v>0</v>
      </c>
      <c r="D10" s="4">
        <f ca="1">INDEX('Step 2 - Scoring'!$A$11:$Q$35,MATCH(M10,'Step 2 - Scoring'!$Q$11:$Q$35,0),15)</f>
        <v>0</v>
      </c>
      <c r="E10" s="5">
        <f t="shared" ca="1" si="0"/>
        <v>0</v>
      </c>
      <c r="F10" s="5">
        <f t="shared" ca="1" si="0"/>
        <v>0</v>
      </c>
      <c r="G10" s="5">
        <f t="shared" ca="1" si="3"/>
        <v>0</v>
      </c>
      <c r="H10" s="5">
        <f t="shared" ca="1" si="4"/>
        <v>0</v>
      </c>
      <c r="I10" s="1" t="e">
        <f t="shared" ca="1" si="1"/>
        <v>#N/A</v>
      </c>
      <c r="J10" s="1" t="e">
        <f t="shared" ca="1" si="2"/>
        <v>#N/A</v>
      </c>
      <c r="M10" s="1">
        <f ca="1">LARGE('Step 2 - Scoring'!$Q$11:$Q$35,N10)</f>
        <v>1.428571438161693E-7</v>
      </c>
      <c r="N10" s="1">
        <v>7</v>
      </c>
    </row>
    <row r="11" spans="1:19" ht="16.5" thickTop="1" thickBot="1">
      <c r="A11" s="3">
        <v>8</v>
      </c>
      <c r="B11" s="3" t="str">
        <f ca="1">INDEX('Step 2 - Scoring'!$A$11:$Q$35,MATCH(M11,'Step 2 - Scoring'!$Q$11:$Q$35,0),1)</f>
        <v>UC8</v>
      </c>
      <c r="C11" s="4">
        <f ca="1">INDEX('Step 2 - Scoring'!$A$11:$Q$35,MATCH(M11,'Step 2 - Scoring'!$Q$11:$Q$35,0),16)</f>
        <v>0</v>
      </c>
      <c r="D11" s="4">
        <f ca="1">INDEX('Step 2 - Scoring'!$A$11:$Q$35,MATCH(M11,'Step 2 - Scoring'!$Q$11:$Q$35,0),15)</f>
        <v>0</v>
      </c>
      <c r="E11" s="5">
        <f t="shared" ca="1" si="0"/>
        <v>0</v>
      </c>
      <c r="F11" s="5">
        <f t="shared" ca="1" si="0"/>
        <v>0</v>
      </c>
      <c r="G11" s="5">
        <f t="shared" ca="1" si="3"/>
        <v>0</v>
      </c>
      <c r="H11" s="5">
        <f t="shared" ca="1" si="4"/>
        <v>0</v>
      </c>
      <c r="I11" s="1" t="e">
        <f t="shared" ca="1" si="1"/>
        <v>#N/A</v>
      </c>
      <c r="J11" s="1" t="e">
        <f t="shared" ca="1" si="2"/>
        <v>#N/A</v>
      </c>
      <c r="M11" s="1">
        <f ca="1">LARGE('Step 2 - Scoring'!$Q$11:$Q$35,N11)</f>
        <v>1.2500000794287051E-7</v>
      </c>
      <c r="N11" s="1">
        <v>8</v>
      </c>
    </row>
    <row r="12" spans="1:19" ht="16.5" thickTop="1" thickBot="1">
      <c r="A12" s="3">
        <v>9</v>
      </c>
      <c r="B12" s="3" t="str">
        <f ca="1">INDEX('Step 2 - Scoring'!$A$11:$Q$35,MATCH(M12,'Step 2 - Scoring'!$Q$11:$Q$35,0),1)</f>
        <v>UC9</v>
      </c>
      <c r="C12" s="4">
        <f ca="1">INDEX('Step 2 - Scoring'!$A$11:$Q$35,MATCH(M12,'Step 2 - Scoring'!$Q$11:$Q$35,0),16)</f>
        <v>0</v>
      </c>
      <c r="D12" s="4">
        <f ca="1">INDEX('Step 2 - Scoring'!$A$11:$Q$35,MATCH(M12,'Step 2 - Scoring'!$Q$11:$Q$35,0),15)</f>
        <v>0</v>
      </c>
      <c r="E12" s="5">
        <f t="shared" ca="1" si="0"/>
        <v>0</v>
      </c>
      <c r="F12" s="5">
        <f t="shared" ca="1" si="0"/>
        <v>0</v>
      </c>
      <c r="G12" s="5">
        <f t="shared" ca="1" si="3"/>
        <v>0</v>
      </c>
      <c r="H12" s="5">
        <f t="shared" ca="1" si="4"/>
        <v>0</v>
      </c>
      <c r="I12" s="1" t="e">
        <f t="shared" ca="1" si="1"/>
        <v>#N/A</v>
      </c>
      <c r="J12" s="1" t="e">
        <f t="shared" ca="1" si="2"/>
        <v>#N/A</v>
      </c>
      <c r="M12" s="1">
        <f ca="1">LARGE('Step 2 - Scoring'!$Q$11:$Q$35,N12)</f>
        <v>1.1111111210726553E-7</v>
      </c>
      <c r="N12" s="1">
        <v>9</v>
      </c>
    </row>
    <row r="13" spans="1:19" ht="16.5" thickTop="1" thickBot="1">
      <c r="A13" s="3">
        <v>10</v>
      </c>
      <c r="B13" s="3" t="str">
        <f ca="1">INDEX('Step 2 - Scoring'!$A$11:$Q$35,MATCH(M13,'Step 2 - Scoring'!$Q$11:$Q$35,0),1)</f>
        <v>UC10</v>
      </c>
      <c r="C13" s="4">
        <f ca="1">INDEX('Step 2 - Scoring'!$A$11:$Q$35,MATCH(M13,'Step 2 - Scoring'!$Q$11:$Q$35,0),16)</f>
        <v>0</v>
      </c>
      <c r="D13" s="4">
        <f ca="1">INDEX('Step 2 - Scoring'!$A$11:$Q$35,MATCH(M13,'Step 2 - Scoring'!$Q$11:$Q$35,0),15)</f>
        <v>0</v>
      </c>
      <c r="E13" s="5">
        <f t="shared" ca="1" si="0"/>
        <v>0</v>
      </c>
      <c r="F13" s="5">
        <f t="shared" ca="1" si="0"/>
        <v>0</v>
      </c>
      <c r="G13" s="5">
        <f t="shared" ca="1" si="3"/>
        <v>0</v>
      </c>
      <c r="H13" s="5">
        <f t="shared" ca="1" si="4"/>
        <v>0</v>
      </c>
      <c r="I13" s="1" t="e">
        <f t="shared" ca="1" si="1"/>
        <v>#N/A</v>
      </c>
      <c r="J13" s="1" t="e">
        <f t="shared" ca="1" si="2"/>
        <v>#N/A</v>
      </c>
      <c r="M13" s="1">
        <f ca="1">LARGE('Step 2 - Scoring'!$Q$11:$Q$35,N13)</f>
        <v>1.0000000016700863E-7</v>
      </c>
      <c r="N13" s="1">
        <v>10</v>
      </c>
    </row>
    <row r="14" spans="1:19" ht="16.5" thickTop="1" thickBot="1">
      <c r="A14" s="3">
        <v>11</v>
      </c>
      <c r="B14" s="3" t="str">
        <f ca="1">INDEX('Step 2 - Scoring'!$A$11:$Q$35,MATCH(M14,'Step 2 - Scoring'!$Q$11:$Q$35,0),1)</f>
        <v>UC11</v>
      </c>
      <c r="C14" s="4">
        <f ca="1">INDEX('Step 2 - Scoring'!$A$11:$Q$35,MATCH(M14,'Step 2 - Scoring'!$Q$11:$Q$35,0),16)</f>
        <v>0</v>
      </c>
      <c r="D14" s="4">
        <f ca="1">INDEX('Step 2 - Scoring'!$A$11:$Q$35,MATCH(M14,'Step 2 - Scoring'!$Q$11:$Q$35,0),15)</f>
        <v>0</v>
      </c>
      <c r="E14" s="5">
        <f t="shared" ca="1" si="0"/>
        <v>0</v>
      </c>
      <c r="F14" s="5">
        <f t="shared" ca="1" si="0"/>
        <v>0</v>
      </c>
      <c r="G14" s="5">
        <f t="shared" ca="1" si="3"/>
        <v>0</v>
      </c>
      <c r="H14" s="5">
        <f t="shared" ca="1" si="4"/>
        <v>0</v>
      </c>
      <c r="I14" s="1" t="e">
        <f t="shared" ca="1" si="1"/>
        <v>#N/A</v>
      </c>
      <c r="J14" s="1" t="e">
        <f t="shared" ca="1" si="2"/>
        <v>#N/A</v>
      </c>
      <c r="M14" s="1">
        <f ca="1">LARGE('Step 2 - Scoring'!$Q$11:$Q$35,N14)</f>
        <v>9.0909094486888627E-8</v>
      </c>
      <c r="N14" s="1">
        <v>11</v>
      </c>
    </row>
    <row r="15" spans="1:19" ht="16.5" thickTop="1" thickBot="1">
      <c r="A15" s="3">
        <v>12</v>
      </c>
      <c r="B15" s="3" t="str">
        <f ca="1">INDEX('Step 2 - Scoring'!$A$11:$Q$35,MATCH(M15,'Step 2 - Scoring'!$Q$11:$Q$35,0),1)</f>
        <v>UC12</v>
      </c>
      <c r="C15" s="4">
        <f ca="1">INDEX('Step 2 - Scoring'!$A$11:$Q$35,MATCH(M15,'Step 2 - Scoring'!$Q$11:$Q$35,0),16)</f>
        <v>0</v>
      </c>
      <c r="D15" s="4">
        <f ca="1">INDEX('Step 2 - Scoring'!$A$11:$Q$35,MATCH(M15,'Step 2 - Scoring'!$Q$11:$Q$35,0),15)</f>
        <v>0</v>
      </c>
      <c r="E15" s="5">
        <f t="shared" ca="1" si="0"/>
        <v>0</v>
      </c>
      <c r="F15" s="5">
        <f t="shared" ca="1" si="0"/>
        <v>0</v>
      </c>
      <c r="G15" s="5">
        <f t="shared" ca="1" si="3"/>
        <v>0</v>
      </c>
      <c r="H15" s="5">
        <f t="shared" ca="1" si="4"/>
        <v>0</v>
      </c>
      <c r="I15" s="1" t="e">
        <f t="shared" ca="1" si="1"/>
        <v>#N/A</v>
      </c>
      <c r="J15" s="1" t="e">
        <f t="shared" ca="1" si="2"/>
        <v>#N/A</v>
      </c>
      <c r="M15" s="1">
        <f ca="1">LARGE('Step 2 - Scoring'!$Q$11:$Q$35,N15)</f>
        <v>8.3333334665633261E-8</v>
      </c>
      <c r="N15" s="1">
        <v>12</v>
      </c>
    </row>
    <row r="16" spans="1:19" ht="16.5" thickTop="1" thickBot="1">
      <c r="A16" s="3">
        <v>13</v>
      </c>
      <c r="B16" s="3" t="str">
        <f ca="1">INDEX('Step 2 - Scoring'!$A$11:$Q$35,MATCH(M16,'Step 2 - Scoring'!$Q$11:$Q$35,0),1)</f>
        <v>UC13</v>
      </c>
      <c r="C16" s="4">
        <f ca="1">INDEX('Step 2 - Scoring'!$A$11:$Q$35,MATCH(M16,'Step 2 - Scoring'!$Q$11:$Q$35,0),16)</f>
        <v>0</v>
      </c>
      <c r="D16" s="4">
        <f ca="1">INDEX('Step 2 - Scoring'!$A$11:$Q$35,MATCH(M16,'Step 2 - Scoring'!$Q$11:$Q$35,0),15)</f>
        <v>0</v>
      </c>
      <c r="E16" s="5">
        <f t="shared" ca="1" si="0"/>
        <v>0</v>
      </c>
      <c r="F16" s="5">
        <f t="shared" ca="1" si="0"/>
        <v>0</v>
      </c>
      <c r="G16" s="5">
        <f t="shared" ca="1" si="3"/>
        <v>0</v>
      </c>
      <c r="H16" s="5">
        <f t="shared" ca="1" si="4"/>
        <v>0</v>
      </c>
      <c r="I16" s="1" t="e">
        <f t="shared" ca="1" si="1"/>
        <v>#N/A</v>
      </c>
      <c r="J16" s="1" t="e">
        <f t="shared" ca="1" si="2"/>
        <v>#N/A</v>
      </c>
      <c r="M16" s="1">
        <f ca="1">LARGE('Step 2 - Scoring'!$Q$11:$Q$35,N16)</f>
        <v>7.6923084041551592E-8</v>
      </c>
      <c r="N16" s="1">
        <v>13</v>
      </c>
    </row>
    <row r="17" spans="1:14" ht="16.5" thickTop="1" thickBot="1">
      <c r="A17" s="3">
        <v>14</v>
      </c>
      <c r="B17" s="3" t="str">
        <f ca="1">INDEX('Step 2 - Scoring'!$A$11:$Q$35,MATCH(M17,'Step 2 - Scoring'!$Q$11:$Q$35,0),1)</f>
        <v>UC14</v>
      </c>
      <c r="C17" s="4">
        <f ca="1">INDEX('Step 2 - Scoring'!$A$11:$Q$35,MATCH(M17,'Step 2 - Scoring'!$Q$11:$Q$35,0),16)</f>
        <v>0</v>
      </c>
      <c r="D17" s="4">
        <f ca="1">INDEX('Step 2 - Scoring'!$A$11:$Q$35,MATCH(M17,'Step 2 - Scoring'!$Q$11:$Q$35,0),15)</f>
        <v>0</v>
      </c>
      <c r="E17" s="5">
        <f t="shared" ca="1" si="0"/>
        <v>0</v>
      </c>
      <c r="F17" s="5">
        <f t="shared" ca="1" si="0"/>
        <v>0</v>
      </c>
      <c r="G17" s="5">
        <f t="shared" ca="1" si="3"/>
        <v>0</v>
      </c>
      <c r="H17" s="5">
        <f t="shared" ca="1" si="4"/>
        <v>0</v>
      </c>
      <c r="I17" s="1" t="e">
        <f t="shared" ca="1" si="1"/>
        <v>#N/A</v>
      </c>
      <c r="J17" s="1" t="e">
        <f t="shared" ca="1" si="2"/>
        <v>#N/A</v>
      </c>
      <c r="M17" s="1">
        <f ca="1">LARGE('Step 2 - Scoring'!$Q$11:$Q$35,N17)</f>
        <v>7.1428572081035993E-8</v>
      </c>
      <c r="N17" s="1">
        <v>14</v>
      </c>
    </row>
    <row r="18" spans="1:14" ht="16.5" thickTop="1" thickBot="1">
      <c r="A18" s="3">
        <v>15</v>
      </c>
      <c r="B18" s="3" t="str">
        <f ca="1">INDEX('Step 2 - Scoring'!$A$11:$Q$35,MATCH(M18,'Step 2 - Scoring'!$Q$11:$Q$35,0),1)</f>
        <v>UC15</v>
      </c>
      <c r="C18" s="4">
        <f ca="1">INDEX('Step 2 - Scoring'!$A$11:$Q$35,MATCH(M18,'Step 2 - Scoring'!$Q$11:$Q$35,0),16)</f>
        <v>0</v>
      </c>
      <c r="D18" s="4">
        <f ca="1">INDEX('Step 2 - Scoring'!$A$11:$Q$35,MATCH(M18,'Step 2 - Scoring'!$Q$11:$Q$35,0),15)</f>
        <v>0</v>
      </c>
      <c r="E18" s="5">
        <f t="shared" ca="1" si="0"/>
        <v>0</v>
      </c>
      <c r="F18" s="5">
        <f t="shared" ca="1" si="0"/>
        <v>0</v>
      </c>
      <c r="G18" s="5">
        <f t="shared" ca="1" si="3"/>
        <v>0</v>
      </c>
      <c r="H18" s="5">
        <f t="shared" ca="1" si="4"/>
        <v>0</v>
      </c>
      <c r="I18" s="1" t="e">
        <f t="shared" ca="1" si="1"/>
        <v>#N/A</v>
      </c>
      <c r="J18" s="1" t="e">
        <f t="shared" ca="1" si="2"/>
        <v>#N/A</v>
      </c>
      <c r="M18" s="1">
        <f ca="1">LARGE('Step 2 - Scoring'!$Q$11:$Q$35,N18)</f>
        <v>6.6666674175258468E-8</v>
      </c>
      <c r="N18" s="1">
        <v>15</v>
      </c>
    </row>
    <row r="19" spans="1:14" ht="16.5" thickTop="1" thickBot="1">
      <c r="A19" s="3">
        <v>16</v>
      </c>
      <c r="B19" s="3" t="str">
        <f ca="1">INDEX('Step 2 - Scoring'!$A$11:$Q$35,MATCH(M19,'Step 2 - Scoring'!$Q$11:$Q$35,0),1)</f>
        <v>UC16</v>
      </c>
      <c r="C19" s="4">
        <f ca="1">INDEX('Step 2 - Scoring'!$A$11:$Q$35,MATCH(M19,'Step 2 - Scoring'!$Q$11:$Q$35,0),16)</f>
        <v>0</v>
      </c>
      <c r="D19" s="4">
        <f ca="1">INDEX('Step 2 - Scoring'!$A$11:$Q$35,MATCH(M19,'Step 2 - Scoring'!$Q$11:$Q$35,0),15)</f>
        <v>0</v>
      </c>
      <c r="E19" s="5">
        <f t="shared" ca="1" si="0"/>
        <v>0</v>
      </c>
      <c r="F19" s="5">
        <f t="shared" ca="1" si="0"/>
        <v>0</v>
      </c>
      <c r="G19" s="5">
        <f t="shared" ca="1" si="3"/>
        <v>0</v>
      </c>
      <c r="H19" s="5">
        <f t="shared" ca="1" si="4"/>
        <v>0</v>
      </c>
      <c r="I19" s="1" t="e">
        <f t="shared" ca="1" si="1"/>
        <v>#N/A</v>
      </c>
      <c r="J19" s="1" t="e">
        <f t="shared" ca="1" si="2"/>
        <v>#N/A</v>
      </c>
      <c r="M19" s="1">
        <f ca="1">LARGE('Step 2 - Scoring'!$Q$11:$Q$35,N19)</f>
        <v>6.2500005301326123E-8</v>
      </c>
      <c r="N19" s="1">
        <v>16</v>
      </c>
    </row>
    <row r="20" spans="1:14" ht="16.5" thickTop="1" thickBot="1">
      <c r="A20" s="3">
        <v>17</v>
      </c>
      <c r="B20" s="3" t="str">
        <f ca="1">INDEX('Step 2 - Scoring'!$A$11:$Q$35,MATCH(M20,'Step 2 - Scoring'!$Q$11:$Q$35,0),1)</f>
        <v>UC17</v>
      </c>
      <c r="C20" s="4">
        <f ca="1">INDEX('Step 2 - Scoring'!$A$11:$Q$35,MATCH(M20,'Step 2 - Scoring'!$Q$11:$Q$35,0),16)</f>
        <v>0</v>
      </c>
      <c r="D20" s="4">
        <f ca="1">INDEX('Step 2 - Scoring'!$A$11:$Q$35,MATCH(M20,'Step 2 - Scoring'!$Q$11:$Q$35,0),15)</f>
        <v>0</v>
      </c>
      <c r="E20" s="5">
        <f t="shared" ca="1" si="0"/>
        <v>0</v>
      </c>
      <c r="F20" s="5">
        <f t="shared" ca="1" si="0"/>
        <v>0</v>
      </c>
      <c r="G20" s="5">
        <f t="shared" ca="1" si="3"/>
        <v>0</v>
      </c>
      <c r="H20" s="5">
        <f t="shared" ca="1" si="4"/>
        <v>0</v>
      </c>
      <c r="I20" s="1" t="e">
        <f t="shared" ca="1" si="1"/>
        <v>#N/A</v>
      </c>
      <c r="J20" s="1" t="e">
        <f t="shared" ca="1" si="2"/>
        <v>#N/A</v>
      </c>
      <c r="M20" s="1">
        <f ca="1">LARGE('Step 2 - Scoring'!$Q$11:$Q$35,N20)</f>
        <v>5.8823536383607427E-8</v>
      </c>
      <c r="N20" s="1">
        <v>17</v>
      </c>
    </row>
    <row r="21" spans="1:14" ht="16.5" thickTop="1" thickBot="1">
      <c r="A21" s="3">
        <v>18</v>
      </c>
      <c r="B21" s="3" t="str">
        <f ca="1">INDEX('Step 2 - Scoring'!$A$11:$Q$35,MATCH(M21,'Step 2 - Scoring'!$Q$11:$Q$35,0),1)</f>
        <v>UC18</v>
      </c>
      <c r="C21" s="4">
        <f ca="1">INDEX('Step 2 - Scoring'!$A$11:$Q$35,MATCH(M21,'Step 2 - Scoring'!$Q$11:$Q$35,0),16)</f>
        <v>0</v>
      </c>
      <c r="D21" s="4">
        <f ca="1">INDEX('Step 2 - Scoring'!$A$11:$Q$35,MATCH(M21,'Step 2 - Scoring'!$Q$11:$Q$35,0),15)</f>
        <v>0</v>
      </c>
      <c r="E21" s="5">
        <f t="shared" ca="1" si="0"/>
        <v>0</v>
      </c>
      <c r="F21" s="5">
        <f t="shared" ca="1" si="0"/>
        <v>0</v>
      </c>
      <c r="G21" s="5">
        <f t="shared" ca="1" si="3"/>
        <v>0</v>
      </c>
      <c r="H21" s="5">
        <f t="shared" ca="1" si="4"/>
        <v>0</v>
      </c>
      <c r="I21" s="1" t="e">
        <f t="shared" ca="1" si="1"/>
        <v>#N/A</v>
      </c>
      <c r="J21" s="1" t="e">
        <f t="shared" ca="1" si="2"/>
        <v>#N/A</v>
      </c>
      <c r="M21" s="1">
        <f ca="1">LARGE('Step 2 - Scoring'!$Q$11:$Q$35,N21)</f>
        <v>5.5555558341615259E-8</v>
      </c>
      <c r="N21" s="1">
        <v>18</v>
      </c>
    </row>
    <row r="22" spans="1:14" ht="16.5" thickTop="1" thickBot="1">
      <c r="A22" s="3">
        <v>19</v>
      </c>
      <c r="B22" s="3" t="str">
        <f ca="1">INDEX('Step 2 - Scoring'!$A$11:$Q$35,MATCH(M22,'Step 2 - Scoring'!$Q$11:$Q$35,0),1)</f>
        <v>UC19</v>
      </c>
      <c r="C22" s="4">
        <f ca="1">INDEX('Step 2 - Scoring'!$A$11:$Q$35,MATCH(M22,'Step 2 - Scoring'!$Q$11:$Q$35,0),16)</f>
        <v>0</v>
      </c>
      <c r="D22" s="4">
        <f ca="1">INDEX('Step 2 - Scoring'!$A$11:$Q$35,MATCH(M22,'Step 2 - Scoring'!$Q$11:$Q$35,0),15)</f>
        <v>0</v>
      </c>
      <c r="E22" s="5">
        <f t="shared" ca="1" si="0"/>
        <v>0</v>
      </c>
      <c r="F22" s="5">
        <f t="shared" ca="1" si="0"/>
        <v>0</v>
      </c>
      <c r="G22" s="5">
        <f t="shared" ca="1" si="3"/>
        <v>0</v>
      </c>
      <c r="H22" s="5">
        <f t="shared" ca="1" si="4"/>
        <v>0</v>
      </c>
      <c r="I22" s="1" t="e">
        <f t="shared" ca="1" si="1"/>
        <v>#N/A</v>
      </c>
      <c r="J22" s="1" t="e">
        <f t="shared" ca="1" si="2"/>
        <v>#N/A</v>
      </c>
      <c r="M22" s="1">
        <f ca="1">LARGE('Step 2 - Scoring'!$Q$11:$Q$35,N22)</f>
        <v>5.2631581989772028E-8</v>
      </c>
      <c r="N22" s="1">
        <v>19</v>
      </c>
    </row>
    <row r="23" spans="1:14" ht="16.5" thickTop="1" thickBot="1">
      <c r="A23" s="3">
        <v>20</v>
      </c>
      <c r="B23" s="3" t="str">
        <f ca="1">INDEX('Step 2 - Scoring'!$A$11:$Q$35,MATCH(M23,'Step 2 - Scoring'!$Q$11:$Q$35,0),1)</f>
        <v>UC20</v>
      </c>
      <c r="C23" s="4">
        <f ca="1">INDEX('Step 2 - Scoring'!$A$11:$Q$35,MATCH(M23,'Step 2 - Scoring'!$Q$11:$Q$35,0),16)</f>
        <v>0</v>
      </c>
      <c r="D23" s="4">
        <f ca="1">INDEX('Step 2 - Scoring'!$A$11:$Q$35,MATCH(M23,'Step 2 - Scoring'!$Q$11:$Q$35,0),15)</f>
        <v>0</v>
      </c>
      <c r="E23" s="5">
        <f t="shared" ca="1" si="0"/>
        <v>0</v>
      </c>
      <c r="F23" s="5">
        <f t="shared" ca="1" si="0"/>
        <v>0</v>
      </c>
      <c r="G23" s="5">
        <f t="shared" ca="1" si="3"/>
        <v>0</v>
      </c>
      <c r="H23" s="5">
        <f t="shared" ca="1" si="4"/>
        <v>0</v>
      </c>
      <c r="I23" s="1" t="e">
        <f t="shared" ca="1" si="1"/>
        <v>#N/A</v>
      </c>
      <c r="J23" s="1" t="e">
        <f t="shared" ca="1" si="2"/>
        <v>#N/A</v>
      </c>
      <c r="M23" s="1">
        <f ca="1">LARGE('Step 2 - Scoring'!$Q$11:$Q$35,N23)</f>
        <v>5.0000009265402942E-8</v>
      </c>
      <c r="N23" s="1">
        <v>20</v>
      </c>
    </row>
    <row r="24" spans="1:14" ht="16.5" thickTop="1" thickBot="1">
      <c r="A24" s="3">
        <v>21</v>
      </c>
      <c r="B24" s="3" t="str">
        <f ca="1">INDEX('Step 2 - Scoring'!$A$11:$Q$35,MATCH(M24,'Step 2 - Scoring'!$Q$11:$Q$35,0),1)</f>
        <v>UC21</v>
      </c>
      <c r="C24" s="4">
        <f ca="1">INDEX('Step 2 - Scoring'!$A$11:$Q$35,MATCH(M24,'Step 2 - Scoring'!$Q$11:$Q$35,0),16)</f>
        <v>0</v>
      </c>
      <c r="D24" s="4">
        <f ca="1">INDEX('Step 2 - Scoring'!$A$11:$Q$35,MATCH(M24,'Step 2 - Scoring'!$Q$11:$Q$35,0),15)</f>
        <v>0</v>
      </c>
      <c r="E24" s="5">
        <f t="shared" ca="1" si="0"/>
        <v>0</v>
      </c>
      <c r="F24" s="5">
        <f t="shared" ca="1" si="0"/>
        <v>0</v>
      </c>
      <c r="G24" s="5">
        <f t="shared" ca="1" si="3"/>
        <v>0</v>
      </c>
      <c r="H24" s="5">
        <f t="shared" ca="1" si="4"/>
        <v>0</v>
      </c>
      <c r="I24" s="1" t="e">
        <f t="shared" ca="1" si="1"/>
        <v>#N/A</v>
      </c>
      <c r="J24" s="1" t="e">
        <f t="shared" ca="1" si="2"/>
        <v>#N/A</v>
      </c>
      <c r="M24" s="1">
        <f ca="1">LARGE('Step 2 - Scoring'!$Q$11:$Q$35,N24)</f>
        <v>4.76190524195757E-8</v>
      </c>
      <c r="N24" s="1">
        <v>21</v>
      </c>
    </row>
    <row r="25" spans="1:14" ht="16.5" thickTop="1" thickBot="1">
      <c r="A25" s="3">
        <v>22</v>
      </c>
      <c r="B25" s="3" t="str">
        <f ca="1">INDEX('Step 2 - Scoring'!$A$11:$Q$35,MATCH(M25,'Step 2 - Scoring'!$Q$11:$Q$35,0),1)</f>
        <v>UC22</v>
      </c>
      <c r="C25" s="4">
        <f ca="1">INDEX('Step 2 - Scoring'!$A$11:$Q$35,MATCH(M25,'Step 2 - Scoring'!$Q$11:$Q$35,0),16)</f>
        <v>0</v>
      </c>
      <c r="D25" s="4">
        <f ca="1">INDEX('Step 2 - Scoring'!$A$11:$Q$35,MATCH(M25,'Step 2 - Scoring'!$Q$11:$Q$35,0),15)</f>
        <v>0</v>
      </c>
      <c r="E25" s="5">
        <f t="shared" ca="1" si="0"/>
        <v>0</v>
      </c>
      <c r="F25" s="5">
        <f t="shared" ca="1" si="0"/>
        <v>0</v>
      </c>
      <c r="G25" s="5">
        <f t="shared" ca="1" si="3"/>
        <v>0</v>
      </c>
      <c r="H25" s="5">
        <f t="shared" ca="1" si="4"/>
        <v>0</v>
      </c>
      <c r="I25" s="1" t="e">
        <f t="shared" ca="1" si="1"/>
        <v>#N/A</v>
      </c>
      <c r="J25" s="1" t="e">
        <f t="shared" ca="1" si="2"/>
        <v>#N/A</v>
      </c>
      <c r="M25" s="1">
        <f ca="1">LARGE('Step 2 - Scoring'!$Q$11:$Q$35,N25)</f>
        <v>4.5454546422131052E-8</v>
      </c>
      <c r="N25" s="1">
        <v>22</v>
      </c>
    </row>
    <row r="26" spans="1:14" ht="16.5" thickTop="1" thickBot="1">
      <c r="A26" s="3">
        <v>23</v>
      </c>
      <c r="B26" s="3" t="str">
        <f ca="1">INDEX('Step 2 - Scoring'!$A$11:$Q$35,MATCH(M26,'Step 2 - Scoring'!$Q$11:$Q$35,0),1)</f>
        <v>UC23</v>
      </c>
      <c r="C26" s="4">
        <f ca="1">INDEX('Step 2 - Scoring'!$A$11:$Q$35,MATCH(M26,'Step 2 - Scoring'!$Q$11:$Q$35,0),16)</f>
        <v>0</v>
      </c>
      <c r="D26" s="4">
        <f ca="1">INDEX('Step 2 - Scoring'!$A$11:$Q$35,MATCH(M26,'Step 2 - Scoring'!$Q$11:$Q$35,0),15)</f>
        <v>0</v>
      </c>
      <c r="E26" s="5">
        <f t="shared" ca="1" si="0"/>
        <v>0</v>
      </c>
      <c r="F26" s="5">
        <f t="shared" ca="1" si="0"/>
        <v>0</v>
      </c>
      <c r="G26" s="5">
        <f t="shared" ca="1" si="3"/>
        <v>0</v>
      </c>
      <c r="H26" s="5">
        <f t="shared" ca="1" si="4"/>
        <v>0</v>
      </c>
      <c r="I26" s="1" t="e">
        <f t="shared" ca="1" si="1"/>
        <v>#N/A</v>
      </c>
      <c r="J26" s="1" t="e">
        <f t="shared" ca="1" si="2"/>
        <v>#N/A</v>
      </c>
      <c r="M26" s="1">
        <f ca="1">LARGE('Step 2 - Scoring'!$Q$11:$Q$35,N26)</f>
        <v>4.3478268433911877E-8</v>
      </c>
      <c r="N26" s="1">
        <v>23</v>
      </c>
    </row>
    <row r="27" spans="1:14" ht="16.5" thickTop="1" thickBot="1">
      <c r="A27" s="3">
        <v>24</v>
      </c>
      <c r="B27" s="3" t="str">
        <f ca="1">INDEX('Step 2 - Scoring'!$A$11:$Q$35,MATCH(M27,'Step 2 - Scoring'!$Q$11:$Q$35,0),1)</f>
        <v>UC24</v>
      </c>
      <c r="C27" s="4">
        <f ca="1">INDEX('Step 2 - Scoring'!$A$11:$Q$35,MATCH(M27,'Step 2 - Scoring'!$Q$11:$Q$35,0),16)</f>
        <v>0</v>
      </c>
      <c r="D27" s="4">
        <f ca="1">INDEX('Step 2 - Scoring'!$A$11:$Q$35,MATCH(M27,'Step 2 - Scoring'!$Q$11:$Q$35,0),15)</f>
        <v>0</v>
      </c>
      <c r="E27" s="5">
        <f t="shared" ca="1" si="0"/>
        <v>0</v>
      </c>
      <c r="F27" s="5">
        <f t="shared" ca="1" si="0"/>
        <v>0</v>
      </c>
      <c r="G27" s="5">
        <f t="shared" ca="1" si="3"/>
        <v>0</v>
      </c>
      <c r="H27" s="5">
        <f t="shared" ca="1" si="4"/>
        <v>0</v>
      </c>
      <c r="I27" s="1" t="e">
        <f t="shared" ca="1" si="1"/>
        <v>#N/A</v>
      </c>
      <c r="J27" s="1" t="e">
        <f t="shared" ca="1" si="2"/>
        <v>#N/A</v>
      </c>
      <c r="M27" s="1">
        <f ca="1">LARGE('Step 2 - Scoring'!$Q$11:$Q$35,N27)</f>
        <v>4.1666667339687352E-8</v>
      </c>
      <c r="N27" s="1">
        <v>24</v>
      </c>
    </row>
    <row r="28" spans="1:14" ht="16.5" thickTop="1" thickBot="1">
      <c r="A28" s="3">
        <v>25</v>
      </c>
      <c r="B28" s="3" t="str">
        <f ca="1">INDEX('Step 2 - Scoring'!$A$11:$Q$35,MATCH(M28,'Step 2 - Scoring'!$Q$11:$Q$35,0),1)</f>
        <v>UC25</v>
      </c>
      <c r="C28" s="4">
        <f ca="1">INDEX('Step 2 - Scoring'!$A$11:$Q$35,MATCH(M28,'Step 2 - Scoring'!$Q$11:$Q$35,0),16)</f>
        <v>0</v>
      </c>
      <c r="D28" s="4">
        <f ca="1">INDEX('Step 2 - Scoring'!$A$11:$Q$35,MATCH(M28,'Step 2 - Scoring'!$Q$11:$Q$35,0),15)</f>
        <v>0</v>
      </c>
      <c r="E28" s="5">
        <f t="shared" ca="1" si="0"/>
        <v>0</v>
      </c>
      <c r="F28" s="5">
        <f t="shared" ca="1" si="0"/>
        <v>0</v>
      </c>
      <c r="G28" s="5">
        <f t="shared" ca="1" si="3"/>
        <v>0</v>
      </c>
      <c r="H28" s="5">
        <f t="shared" ca="1" si="4"/>
        <v>0</v>
      </c>
      <c r="I28" s="1" t="e">
        <f t="shared" ca="1" si="1"/>
        <v>#N/A</v>
      </c>
      <c r="J28" s="1" t="e">
        <f t="shared" ca="1" si="2"/>
        <v>#N/A</v>
      </c>
      <c r="M28" s="1">
        <f ca="1">LARGE('Step 2 - Scoring'!$Q$11:$Q$35,N28)</f>
        <v>4.0000001907076768E-8</v>
      </c>
      <c r="N28" s="1">
        <v>25</v>
      </c>
    </row>
    <row r="29" spans="1:14" ht="15.75" thickTop="1">
      <c r="E29" s="2"/>
      <c r="F29" s="2"/>
      <c r="G29" s="2"/>
      <c r="H29" s="2"/>
    </row>
    <row r="30" spans="1:14">
      <c r="E30" s="2"/>
      <c r="F30" s="2"/>
      <c r="G30" s="2"/>
      <c r="H30" s="2"/>
    </row>
    <row r="31" spans="1:14">
      <c r="E31" s="2"/>
      <c r="F31" s="2"/>
      <c r="G31" s="2"/>
      <c r="H31" s="2"/>
    </row>
    <row r="32" spans="1:14">
      <c r="E32" s="2"/>
      <c r="F32" s="2"/>
      <c r="G32" s="2"/>
      <c r="H32" s="2"/>
    </row>
    <row r="33" spans="1:40">
      <c r="A33" s="6"/>
      <c r="B33" s="6"/>
    </row>
    <row r="38" spans="1:40">
      <c r="P38" s="28"/>
      <c r="U38" s="29">
        <v>1</v>
      </c>
      <c r="W38" s="1" t="str">
        <f ca="1">VLOOKUP(U38,$A:$B,2,FALSE)</f>
        <v>Example Use Case 1</v>
      </c>
      <c r="X38" s="30" t="b">
        <f ca="1">OR(W38="UC"&amp;U38,W38=0,ISBLANK(W38))</f>
        <v>0</v>
      </c>
      <c r="Y38" s="29">
        <v>6</v>
      </c>
      <c r="AA38" s="1" t="str">
        <f ca="1">VLOOKUP(Y38,$A:$B,2,FALSE)</f>
        <v>UC6</v>
      </c>
      <c r="AB38" s="30" t="b">
        <f ca="1">OR(AA38="UC"&amp;Y38,AA38=0,ISBLANK(AA38))</f>
        <v>1</v>
      </c>
      <c r="AC38" s="29">
        <v>11</v>
      </c>
      <c r="AE38" s="1" t="str">
        <f ca="1">VLOOKUP(AC38,$A:$B,2,FALSE)</f>
        <v>UC11</v>
      </c>
      <c r="AF38" s="30" t="b">
        <f ca="1">OR(AE38="UC"&amp;AC38,AE38=0,ISBLANK(AE38))</f>
        <v>1</v>
      </c>
      <c r="AG38" s="29">
        <v>16</v>
      </c>
      <c r="AI38" s="1" t="str">
        <f ca="1">VLOOKUP(AG38,$A:$B,2,FALSE)</f>
        <v>UC16</v>
      </c>
      <c r="AJ38" s="30" t="b">
        <f ca="1">OR(AI38="UC"&amp;AG38,AI38=0,ISBLANK(AI38))</f>
        <v>1</v>
      </c>
      <c r="AK38" s="29">
        <v>21</v>
      </c>
      <c r="AM38" s="1" t="str">
        <f ca="1">VLOOKUP(AK38,$A:$B,2,FALSE)</f>
        <v>UC21</v>
      </c>
      <c r="AN38" s="30" t="b">
        <f ca="1">OR(AM38="UC"&amp;AK38,AM38=0,ISBLANK(AM38))</f>
        <v>1</v>
      </c>
    </row>
    <row r="39" spans="1:40">
      <c r="U39" s="29">
        <v>2</v>
      </c>
      <c r="W39" s="1" t="str">
        <f ca="1">VLOOKUP(U39,$A:$B,2,FALSE)</f>
        <v>Example Use Case 2</v>
      </c>
      <c r="X39" s="30" t="b">
        <f ca="1">OR(W39="UC"&amp;U39,W39=0,ISBLANK(W39))</f>
        <v>0</v>
      </c>
      <c r="Y39" s="29">
        <v>7</v>
      </c>
      <c r="AA39" s="1" t="str">
        <f ca="1">VLOOKUP(Y39,$A:$B,2,FALSE)</f>
        <v>UC7</v>
      </c>
      <c r="AB39" s="30" t="b">
        <f ca="1">OR(AA39="UC"&amp;Y39,AA39=0,ISBLANK(AA39))</f>
        <v>1</v>
      </c>
      <c r="AC39" s="29">
        <v>12</v>
      </c>
      <c r="AE39" s="1" t="str">
        <f ca="1">VLOOKUP(AC39,$A:$B,2,FALSE)</f>
        <v>UC12</v>
      </c>
      <c r="AF39" s="30" t="b">
        <f ca="1">OR(AE39="UC"&amp;AC39,AE39=0,ISBLANK(AE39))</f>
        <v>1</v>
      </c>
      <c r="AG39" s="29">
        <v>17</v>
      </c>
      <c r="AI39" s="1" t="str">
        <f ca="1">VLOOKUP(AG39,$A:$B,2,FALSE)</f>
        <v>UC17</v>
      </c>
      <c r="AJ39" s="30" t="b">
        <f ca="1">OR(AI39="UC"&amp;AG39,AI39=0,ISBLANK(AI39))</f>
        <v>1</v>
      </c>
      <c r="AK39" s="29">
        <v>22</v>
      </c>
      <c r="AM39" s="1" t="str">
        <f ca="1">VLOOKUP(AK39,$A:$B,2,FALSE)</f>
        <v>UC22</v>
      </c>
      <c r="AN39" s="30" t="b">
        <f ca="1">OR(AM39="UC"&amp;AK39,AM39=0,ISBLANK(AM39))</f>
        <v>1</v>
      </c>
    </row>
    <row r="40" spans="1:40">
      <c r="U40" s="29">
        <v>3</v>
      </c>
      <c r="W40" s="1" t="str">
        <f ca="1">VLOOKUP(U40,$A:$B,2,FALSE)</f>
        <v>UC3</v>
      </c>
      <c r="X40" s="30" t="b">
        <f ca="1">OR(W40="UC"&amp;U40,W40=0,ISBLANK(W40))</f>
        <v>1</v>
      </c>
      <c r="Y40" s="29">
        <v>8</v>
      </c>
      <c r="AA40" s="1" t="str">
        <f ca="1">VLOOKUP(Y40,$A:$B,2,FALSE)</f>
        <v>UC8</v>
      </c>
      <c r="AB40" s="30" t="b">
        <f ca="1">OR(AA40="UC"&amp;Y40,AA40=0,ISBLANK(AA40))</f>
        <v>1</v>
      </c>
      <c r="AC40" s="29">
        <v>13</v>
      </c>
      <c r="AE40" s="1" t="str">
        <f ca="1">VLOOKUP(AC40,$A:$B,2,FALSE)</f>
        <v>UC13</v>
      </c>
      <c r="AF40" s="30" t="b">
        <f ca="1">OR(AE40="UC"&amp;AC40,AE40=0,ISBLANK(AE40))</f>
        <v>1</v>
      </c>
      <c r="AG40" s="29">
        <v>18</v>
      </c>
      <c r="AI40" s="1" t="str">
        <f ca="1">VLOOKUP(AG40,$A:$B,2,FALSE)</f>
        <v>UC18</v>
      </c>
      <c r="AJ40" s="30" t="b">
        <f ca="1">OR(AI40="UC"&amp;AG40,AI40=0,ISBLANK(AI40))</f>
        <v>1</v>
      </c>
      <c r="AK40" s="29">
        <v>23</v>
      </c>
      <c r="AM40" s="1" t="str">
        <f ca="1">VLOOKUP(AK40,$A:$B,2,FALSE)</f>
        <v>UC23</v>
      </c>
      <c r="AN40" s="30" t="b">
        <f ca="1">OR(AM40="UC"&amp;AK40,AM40=0,ISBLANK(AM40))</f>
        <v>1</v>
      </c>
    </row>
    <row r="41" spans="1:40">
      <c r="U41" s="29">
        <v>4</v>
      </c>
      <c r="W41" s="1" t="str">
        <f ca="1">VLOOKUP(U41,$A:$B,2,FALSE)</f>
        <v>UC4</v>
      </c>
      <c r="X41" s="30" t="b">
        <f ca="1">OR(W41="UC"&amp;U41,W41=0,ISBLANK(W41))</f>
        <v>1</v>
      </c>
      <c r="Y41" s="29">
        <v>9</v>
      </c>
      <c r="AA41" s="1" t="str">
        <f ca="1">VLOOKUP(Y41,$A:$B,2,FALSE)</f>
        <v>UC9</v>
      </c>
      <c r="AB41" s="30" t="b">
        <f ca="1">OR(AA41="UC"&amp;Y41,AA41=0,ISBLANK(AA41))</f>
        <v>1</v>
      </c>
      <c r="AC41" s="29">
        <v>14</v>
      </c>
      <c r="AE41" s="1" t="str">
        <f ca="1">VLOOKUP(AC41,$A:$B,2,FALSE)</f>
        <v>UC14</v>
      </c>
      <c r="AF41" s="30" t="b">
        <f ca="1">OR(AE41="UC"&amp;AC41,AE41=0,ISBLANK(AE41))</f>
        <v>1</v>
      </c>
      <c r="AG41" s="29">
        <v>19</v>
      </c>
      <c r="AI41" s="1" t="str">
        <f ca="1">VLOOKUP(AG41,$A:$B,2,FALSE)</f>
        <v>UC19</v>
      </c>
      <c r="AJ41" s="30" t="b">
        <f ca="1">OR(AI41="UC"&amp;AG41,AI41=0,ISBLANK(AI41))</f>
        <v>1</v>
      </c>
      <c r="AK41" s="29">
        <v>24</v>
      </c>
      <c r="AM41" s="1" t="str">
        <f ca="1">VLOOKUP(AK41,$A:$B,2,FALSE)</f>
        <v>UC24</v>
      </c>
      <c r="AN41" s="30" t="b">
        <f ca="1">OR(AM41="UC"&amp;AK41,AM41=0,ISBLANK(AM41))</f>
        <v>1</v>
      </c>
    </row>
    <row r="42" spans="1:40">
      <c r="U42" s="29">
        <v>5</v>
      </c>
      <c r="W42" s="1" t="str">
        <f ca="1">VLOOKUP(U42,$A:$B,2,FALSE)</f>
        <v>UC5</v>
      </c>
      <c r="X42" s="30" t="b">
        <f ca="1">OR(W42="UC"&amp;U42,W42=0,ISBLANK(W42))</f>
        <v>1</v>
      </c>
      <c r="Y42" s="29">
        <v>10</v>
      </c>
      <c r="AA42" s="1" t="str">
        <f ca="1">VLOOKUP(Y42,$A:$B,2,FALSE)</f>
        <v>UC10</v>
      </c>
      <c r="AB42" s="30" t="b">
        <f ca="1">OR(AA42="UC"&amp;Y42,AA42=0,ISBLANK(AA42))</f>
        <v>1</v>
      </c>
      <c r="AC42" s="29">
        <v>15</v>
      </c>
      <c r="AE42" s="1" t="str">
        <f ca="1">VLOOKUP(AC42,$A:$B,2,FALSE)</f>
        <v>UC15</v>
      </c>
      <c r="AF42" s="30" t="b">
        <f ca="1">OR(AE42="UC"&amp;AC42,AE42=0,ISBLANK(AE42))</f>
        <v>1</v>
      </c>
      <c r="AG42" s="29">
        <v>20</v>
      </c>
      <c r="AI42" s="1" t="str">
        <f ca="1">VLOOKUP(AG42,$A:$B,2,FALSE)</f>
        <v>UC20</v>
      </c>
      <c r="AJ42" s="30" t="b">
        <f ca="1">OR(AI42="UC"&amp;AG42,AI42=0,ISBLANK(AI42))</f>
        <v>1</v>
      </c>
      <c r="AK42" s="29">
        <v>25</v>
      </c>
      <c r="AM42" s="1" t="str">
        <f ca="1">VLOOKUP(AK42,$A:$B,2,FALSE)</f>
        <v>UC25</v>
      </c>
      <c r="AN42" s="30" t="b">
        <f ca="1">OR(AM42="UC"&amp;AK42,AM42=0,ISBLANK(AM42))</f>
        <v>1</v>
      </c>
    </row>
  </sheetData>
  <mergeCells count="1">
    <mergeCell ref="O3:S6"/>
  </mergeCells>
  <conditionalFormatting sqref="U38:U42">
    <cfRule type="expression" dxfId="9" priority="9">
      <formula>X38</formula>
    </cfRule>
  </conditionalFormatting>
  <conditionalFormatting sqref="W38:W42">
    <cfRule type="expression" dxfId="8" priority="10">
      <formula>X38</formula>
    </cfRule>
  </conditionalFormatting>
  <conditionalFormatting sqref="Y38:Y42">
    <cfRule type="expression" dxfId="7" priority="7">
      <formula>AB38</formula>
    </cfRule>
  </conditionalFormatting>
  <conditionalFormatting sqref="AA38:AA42">
    <cfRule type="expression" dxfId="6" priority="8">
      <formula>AB38</formula>
    </cfRule>
  </conditionalFormatting>
  <conditionalFormatting sqref="AC38:AC42">
    <cfRule type="expression" dxfId="5" priority="5">
      <formula>AF38</formula>
    </cfRule>
  </conditionalFormatting>
  <conditionalFormatting sqref="AE38:AE42">
    <cfRule type="expression" dxfId="4" priority="6">
      <formula>AF38</formula>
    </cfRule>
  </conditionalFormatting>
  <conditionalFormatting sqref="AG38:AG42">
    <cfRule type="expression" dxfId="3" priority="3">
      <formula>AJ38</formula>
    </cfRule>
  </conditionalFormatting>
  <conditionalFormatting sqref="AI38:AI42">
    <cfRule type="expression" dxfId="2" priority="4">
      <formula>AJ38</formula>
    </cfRule>
  </conditionalFormatting>
  <conditionalFormatting sqref="AK38:AK42">
    <cfRule type="expression" dxfId="1" priority="1">
      <formula>AN38</formula>
    </cfRule>
  </conditionalFormatting>
  <conditionalFormatting sqref="AM38:AM42">
    <cfRule type="expression" dxfId="0" priority="2">
      <formula>AN38</formula>
    </cfRule>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C937D-814F-4F64-B66C-68F91825D2B5}">
  <dimension ref="C5:E7"/>
  <sheetViews>
    <sheetView workbookViewId="0">
      <selection activeCell="D7" sqref="D7"/>
    </sheetView>
  </sheetViews>
  <sheetFormatPr defaultRowHeight="15"/>
  <cols>
    <col min="3" max="3" width="24.42578125" customWidth="1"/>
    <col min="4" max="4" width="25.28515625" customWidth="1"/>
    <col min="5" max="5" width="36.140625" customWidth="1"/>
  </cols>
  <sheetData>
    <row r="5" spans="3:5">
      <c r="C5" s="55" t="s">
        <v>73</v>
      </c>
      <c r="D5" s="55" t="s">
        <v>74</v>
      </c>
      <c r="E5" s="55" t="s">
        <v>75</v>
      </c>
    </row>
    <row r="6" spans="3:5" ht="105">
      <c r="C6" s="57" t="s">
        <v>76</v>
      </c>
      <c r="D6" s="57" t="s">
        <v>77</v>
      </c>
      <c r="E6" s="56" t="s">
        <v>78</v>
      </c>
    </row>
    <row r="7" spans="3:5">
      <c r="C7" t="s">
        <v>80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79B5C1DCE5FB41BC92DBA27FC5E3CD" ma:contentTypeVersion="17" ma:contentTypeDescription="Create a new document." ma:contentTypeScope="" ma:versionID="fb6c5a0dbffe236a0535250be787d134">
  <xsd:schema xmlns:xsd="http://www.w3.org/2001/XMLSchema" xmlns:xs="http://www.w3.org/2001/XMLSchema" xmlns:p="http://schemas.microsoft.com/office/2006/metadata/properties" xmlns:ns3="2d158338-cb8f-4762-adea-f9b172bcc515" xmlns:ns4="9f85d6bb-dc5b-443c-abcb-f44c18dd1327" targetNamespace="http://schemas.microsoft.com/office/2006/metadata/properties" ma:root="true" ma:fieldsID="e4793a4b6639e863620f2104fe46bbb3" ns3:_="" ns4:_="">
    <xsd:import namespace="2d158338-cb8f-4762-adea-f9b172bcc515"/>
    <xsd:import namespace="9f85d6bb-dc5b-443c-abcb-f44c18dd132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AutoKeyPoints" minOccurs="0"/>
                <xsd:element ref="ns4:MediaServiceKeyPoints" minOccurs="0"/>
                <xsd:element ref="ns4:MediaServiceOCR" minOccurs="0"/>
                <xsd:element ref="ns4:_activity" minOccurs="0"/>
                <xsd:element ref="ns4:MediaServiceObjectDetectorVersions" minOccurs="0"/>
                <xsd:element ref="ns4:MediaServiceDateTaken" minOccurs="0"/>
                <xsd:element ref="ns4:MediaLengthInSecond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158338-cb8f-4762-adea-f9b172bcc51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f85d6bb-dc5b-443c-abcb-f44c18dd132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CR" ma:index="18" nillable="true" ma:displayName="Extracted Text" ma:internalName="MediaServiceOCR" ma:readOnly="true">
      <xsd:simpleType>
        <xsd:restriction base="dms:Note">
          <xsd:maxLength value="255"/>
        </xsd:restrictio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f85d6bb-dc5b-443c-abcb-f44c18dd1327" xsi:nil="true"/>
  </documentManagement>
</p:properties>
</file>

<file path=customXml/itemProps1.xml><?xml version="1.0" encoding="utf-8"?>
<ds:datastoreItem xmlns:ds="http://schemas.openxmlformats.org/officeDocument/2006/customXml" ds:itemID="{3758BB9F-D2DE-49AD-9C42-A8B3DC81FD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158338-cb8f-4762-adea-f9b172bcc515"/>
    <ds:schemaRef ds:uri="9f85d6bb-dc5b-443c-abcb-f44c18dd13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99FFC7E-6439-4BBF-A360-5AD1A5BE4DC5}">
  <ds:schemaRefs>
    <ds:schemaRef ds:uri="http://schemas.microsoft.com/sharepoint/v3/contenttype/forms"/>
  </ds:schemaRefs>
</ds:datastoreItem>
</file>

<file path=customXml/itemProps3.xml><?xml version="1.0" encoding="utf-8"?>
<ds:datastoreItem xmlns:ds="http://schemas.openxmlformats.org/officeDocument/2006/customXml" ds:itemID="{7C4D0B46-D560-41B8-A32C-93322378EB2E}">
  <ds:schemaRefs>
    <ds:schemaRef ds:uri="http://purl.org/dc/elements/1.1/"/>
    <ds:schemaRef ds:uri="http://purl.org/dc/dcmitype/"/>
    <ds:schemaRef ds:uri="http://schemas.openxmlformats.org/package/2006/metadata/core-properties"/>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9f85d6bb-dc5b-443c-abcb-f44c18dd1327"/>
    <ds:schemaRef ds:uri="2d158338-cb8f-4762-adea-f9b172bcc515"/>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GARTNER LEADER'S TOOL</vt:lpstr>
      <vt:lpstr>Step 0 - About Prism</vt:lpstr>
      <vt:lpstr>Step 1 - Fill in Details</vt:lpstr>
      <vt:lpstr>Step 2 - Scoring</vt:lpstr>
      <vt:lpstr>(VIEW) Symbol Sheet</vt:lpstr>
      <vt:lpstr>Step 3 - Create Pipeline</vt:lpstr>
      <vt:lpstr>(VIEW) Prism</vt:lpstr>
      <vt:lpstr>Sandbox</vt:lpstr>
      <vt:lpstr>Version History</vt:lpstr>
      <vt:lpstr>iIndustry</vt:lpstr>
      <vt:lpstr>iTechnology</vt:lpstr>
      <vt:lpstr>superscript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Jill Reisfeld</cp:lastModifiedBy>
  <cp:lastPrinted>2021-02-23T09:21:12Z</cp:lastPrinted>
  <dcterms:created xsi:type="dcterms:W3CDTF">2020-08-11T11:29:12Z</dcterms:created>
  <dcterms:modified xsi:type="dcterms:W3CDTF">2024-05-14T16:14:52Z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0x010100B979B5C1DCE5FB41BC92DBA27FC5E3CD</vt:lpwstr>
  </property>
</Properties>
</file>